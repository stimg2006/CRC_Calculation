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mbeddings/oleObject6.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PTC\Japan_Collaboration\Process\LSE_roll-out\LSE_manual\HiLs_Tools\Reference\CRC_Calculation\"/>
    </mc:Choice>
  </mc:AlternateContent>
  <xr:revisionPtr revIDLastSave="0" documentId="13_ncr:1_{B63CD190-A3E7-474A-BD38-2D2A1511EC27}" xr6:coauthVersionLast="47" xr6:coauthVersionMax="47" xr10:uidLastSave="{00000000-0000-0000-0000-000000000000}"/>
  <bookViews>
    <workbookView xWindow="-108" yWindow="-108" windowWidth="23256" windowHeight="12576" xr2:uid="{B9546DE6-5C3B-4607-B4FE-EA885269B83F}"/>
  </bookViews>
  <sheets>
    <sheet name="Index" sheetId="4" r:id="rId1"/>
    <sheet name="Outline" sheetId="5" r:id="rId2"/>
    <sheet name="C#_CRC16" sheetId="2" r:id="rId3"/>
    <sheet name="C#_CRC8" sheetId="3" r:id="rId4"/>
    <sheet name="Python_CRC" sheetId="6" r:id="rId5"/>
    <sheet name="CRC8_(manual_calculation_1)" sheetId="8" r:id="rId6"/>
    <sheet name="CRC8_(manual_calculation_2)" sheetId="7" r:id="rId7"/>
    <sheet name="XOR_A&amp;B" sheetId="9"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_Containers情報__" localSheetId="7">#REF!</definedName>
    <definedName name="__Containers情報__">#REF!</definedName>
    <definedName name="__Table_Fields情報__" localSheetId="7">#REF!</definedName>
    <definedName name="__Table_Fields情報__">#REF!</definedName>
    <definedName name="_1000Y" localSheetId="7">[1]ｵｰﾄｸﾞﾗﾌﾃﾞｰﾀ最新版!#REF!</definedName>
    <definedName name="_1000Y">[1]ｵｰﾄｸﾞﾗﾌﾃﾞｰﾀ最新版!#REF!</definedName>
    <definedName name="_100H">[1]ｵｰﾄｸﾞﾗﾌﾃﾞｰﾀ最新版!$O$2:$O$488</definedName>
    <definedName name="_10W">[1]ｵｰﾄｸﾞﾗﾌﾃﾞｰﾀ最新版!$K$2:$K$488</definedName>
    <definedName name="_110L">[1]ｵｰﾄｸﾞﾗﾌﾃﾞｰﾀ最新版!$P$2:$P$488</definedName>
    <definedName name="_120L">[1]ｵｰﾄｸﾞﾗﾌﾃﾞｰﾀ最新版!$Q$2:$Q$488</definedName>
    <definedName name="_130L">[1]ｵｰﾄｸﾞﾗﾌﾃﾞｰﾀ最新版!$R$2:$R$488</definedName>
    <definedName name="_140H">[1]ｵｰﾄｸﾞﾗﾌﾃﾞｰﾀ最新版!#REF!</definedName>
    <definedName name="_150L">[1]ｵｰﾄｸﾞﾗﾌﾃﾞｰﾀ最新版!#REF!</definedName>
    <definedName name="_160H">[1]ｵｰﾄｸﾞﾗﾌﾃﾞｰﾀ最新版!#REF!</definedName>
    <definedName name="_170L">[1]ｵｰﾄｸﾞﾗﾌﾃﾞｰﾀ最新版!#REF!</definedName>
    <definedName name="_180L">[1]ｵｰﾄｸﾞﾗﾌﾃﾞｰﾀ最新版!#REF!</definedName>
    <definedName name="_190H">[1]ｵｰﾄｸﾞﾗﾌﾃﾞｰﾀ最新版!#REF!</definedName>
    <definedName name="_200H">[1]ｵｰﾄｸﾞﾗﾌﾃﾞｰﾀ最新版!#REF!</definedName>
    <definedName name="_20W">[1]ｵｰﾄｸﾞﾗﾌﾃﾞｰﾀ最新版!$L$2:$L$488</definedName>
    <definedName name="_210H">[1]ｵｰﾄｸﾞﾗﾌﾃﾞｰﾀ最新版!#REF!</definedName>
    <definedName name="_220A">[1]ｵｰﾄｸﾞﾗﾌﾃﾞｰﾀ最新版!#REF!</definedName>
    <definedName name="_221A">[1]ｵｰﾄｸﾞﾗﾌﾃﾞｰﾀ最新版!#REF!</definedName>
    <definedName name="_230A">[1]ｵｰﾄｸﾞﾗﾌﾃﾞｰﾀ最新版!#REF!</definedName>
    <definedName name="_240A">[1]ｵｰﾄｸﾞﾗﾌﾃﾞｰﾀ最新版!#REF!</definedName>
    <definedName name="_250A">[1]ｵｰﾄｸﾞﾗﾌﾃﾞｰﾀ最新版!#REF!</definedName>
    <definedName name="_260H">[1]ｵｰﾄｸﾞﾗﾌﾃﾞｰﾀ最新版!#REF!</definedName>
    <definedName name="_270H">[1]ｵｰﾄｸﾞﾗﾌﾃﾞｰﾀ最新版!#REF!</definedName>
    <definedName name="_280H">[1]ｵｰﾄｸﾞﾗﾌﾃﾞｰﾀ最新版!#REF!</definedName>
    <definedName name="_290W">[1]ｵｰﾄｸﾞﾗﾌﾃﾞｰﾀ最新版!#REF!</definedName>
    <definedName name="_300H">[1]ｵｰﾄｸﾞﾗﾌﾃﾞｰﾀ最新版!#REF!</definedName>
    <definedName name="_30H">[1]ｵｰﾄｸﾞﾗﾌﾃﾞｰﾀ最新版!#REF!</definedName>
    <definedName name="_310L">[1]ｵｰﾄｸﾞﾗﾌﾃﾞｰﾀ最新版!#REF!</definedName>
    <definedName name="_320H">[1]ｵｰﾄｸﾞﾗﾌﾃﾞｰﾀ最新版!#REF!</definedName>
    <definedName name="_330H">[1]ｵｰﾄｸﾞﾗﾌﾃﾞｰﾀ最新版!#REF!</definedName>
    <definedName name="_340L">[1]ｵｰﾄｸﾞﾗﾌﾃﾞｰﾀ最新版!#REF!</definedName>
    <definedName name="_350L">[1]ｵｰﾄｸﾞﾗﾌﾃﾞｰﾀ最新版!#REF!</definedName>
    <definedName name="_360H">[1]ｵｰﾄｸﾞﾗﾌﾃﾞｰﾀ最新版!#REF!</definedName>
    <definedName name="_370A">[1]ｵｰﾄｸﾞﾗﾌﾃﾞｰﾀ最新版!#REF!</definedName>
    <definedName name="_380A">[1]ｵｰﾄｸﾞﾗﾌﾃﾞｰﾀ最新版!#REF!</definedName>
    <definedName name="_390A">[1]ｵｰﾄｸﾞﾗﾌﾃﾞｰﾀ最新版!#REF!</definedName>
    <definedName name="_400A">[1]ｵｰﾄｸﾞﾗﾌﾃﾞｰﾀ最新版!#REF!</definedName>
    <definedName name="_40L">[1]ｵｰﾄｸﾞﾗﾌﾃﾞｰﾀ最新版!$M$2:$M$488</definedName>
    <definedName name="_410L">[1]ｵｰﾄｸﾞﾗﾌﾃﾞｰﾀ最新版!#REF!</definedName>
    <definedName name="_420W">[1]ｵｰﾄｸﾞﾗﾌﾃﾞｰﾀ最新版!#REF!</definedName>
    <definedName name="_430W">[1]ｵｰﾄｸﾞﾗﾌﾃﾞｰﾀ最新版!#REF!</definedName>
    <definedName name="_440W">[1]ｵｰﾄｸﾞﾗﾌﾃﾞｰﾀ最新版!#REF!</definedName>
    <definedName name="_450L">[1]ｵｰﾄｸﾞﾗﾌﾃﾞｰﾀ最新版!#REF!</definedName>
    <definedName name="_460L">[1]ｵｰﾄｸﾞﾗﾌﾃﾞｰﾀ最新版!#REF!</definedName>
    <definedName name="_470H">[1]ｵｰﾄｸﾞﾗﾌﾃﾞｰﾀ最新版!#REF!</definedName>
    <definedName name="_480H">[1]ｵｰﾄｸﾞﾗﾌﾃﾞｰﾀ最新版!#REF!</definedName>
    <definedName name="_490W">[1]ｵｰﾄｸﾞﾗﾌﾃﾞｰﾀ最新版!#REF!</definedName>
    <definedName name="_500H">[1]ｵｰﾄｸﾞﾗﾌﾃﾞｰﾀ最新版!#REF!</definedName>
    <definedName name="_50A">[1]ｵｰﾄｸﾞﾗﾌﾃﾞｰﾀ最新版!#REF!</definedName>
    <definedName name="_510H">[1]ｵｰﾄｸﾞﾗﾌﾃﾞｰﾀ最新版!#REF!</definedName>
    <definedName name="_511L">[1]ｵｰﾄｸﾞﾗﾌﾃﾞｰﾀ最新版!#REF!</definedName>
    <definedName name="_520H">[1]ｵｰﾄｸﾞﾗﾌﾃﾞｰﾀ最新版!#REF!</definedName>
    <definedName name="_530H">[1]ｵｰﾄｸﾞﾗﾌﾃﾞｰﾀ最新版!#REF!</definedName>
    <definedName name="_540W">[1]ｵｰﾄｸﾞﾗﾌﾃﾞｰﾀ最新版!#REF!</definedName>
    <definedName name="_550L">[1]ｵｰﾄｸﾞﾗﾌﾃﾞｰﾀ最新版!#REF!</definedName>
    <definedName name="_560A">[1]ｵｰﾄｸﾞﾗﾌﾃﾞｰﾀ最新版!#REF!</definedName>
    <definedName name="_570A">[1]ｵｰﾄｸﾞﾗﾌﾃﾞｰﾀ最新版!#REF!</definedName>
    <definedName name="_580W">[1]ｵｰﾄｸﾞﾗﾌﾃﾞｰﾀ最新版!#REF!</definedName>
    <definedName name="_590H">[1]ｵｰﾄｸﾞﾗﾌﾃﾞｰﾀ最新版!#REF!</definedName>
    <definedName name="_600L">[1]ｵｰﾄｸﾞﾗﾌﾃﾞｰﾀ最新版!#REF!</definedName>
    <definedName name="_60W">[1]ｵｰﾄｸﾞﾗﾌﾃﾞｰﾀ最新版!$N$2:$N$488</definedName>
    <definedName name="_610H">[1]ｵｰﾄｸﾞﾗﾌﾃﾞｰﾀ最新版!#REF!</definedName>
    <definedName name="_620L">[1]ｵｰﾄｸﾞﾗﾌﾃﾞｰﾀ最新版!#REF!</definedName>
    <definedName name="_630H">[1]ｵｰﾄｸﾞﾗﾌﾃﾞｰﾀ最新版!#REF!</definedName>
    <definedName name="_63ｰ2">[2]車両質量一覧!#REF!</definedName>
    <definedName name="_640L">[1]ｵｰﾄｸﾞﾗﾌﾃﾞｰﾀ最新版!#REF!</definedName>
    <definedName name="_650L">[1]ｵｰﾄｸﾞﾗﾌﾃﾞｰﾀ最新版!#REF!</definedName>
    <definedName name="_660H">[1]ｵｰﾄｸﾞﾗﾌﾃﾞｰﾀ最新版!#REF!</definedName>
    <definedName name="_670L">[1]ｵｰﾄｸﾞﾗﾌﾃﾞｰﾀ最新版!#REF!</definedName>
    <definedName name="_680L">[1]ｵｰﾄｸﾞﾗﾌﾃﾞｰﾀ最新版!#REF!</definedName>
    <definedName name="_690L">[1]ｵｰﾄｸﾞﾗﾌﾃﾞｰﾀ最新版!#REF!</definedName>
    <definedName name="_700W">[1]ｵｰﾄｸﾞﾗﾌﾃﾞｰﾀ最新版!#REF!</definedName>
    <definedName name="_70W">[1]ｵｰﾄｸﾞﾗﾌﾃﾞｰﾀ最新版!#REF!</definedName>
    <definedName name="_710H">[1]ｵｰﾄｸﾞﾗﾌﾃﾞｰﾀ最新版!#REF!</definedName>
    <definedName name="_720L">[1]ｵｰﾄｸﾞﾗﾌﾃﾞｰﾀ最新版!#REF!</definedName>
    <definedName name="_730H">[1]ｵｰﾄｸﾞﾗﾌﾃﾞｰﾀ最新版!#REF!</definedName>
    <definedName name="_740H">[1]ｵｰﾄｸﾞﾗﾌﾃﾞｰﾀ最新版!#REF!</definedName>
    <definedName name="_750L">[1]ｵｰﾄｸﾞﾗﾌﾃﾞｰﾀ最新版!#REF!</definedName>
    <definedName name="_760A">[1]ｵｰﾄｸﾞﾗﾌﾃﾞｰﾀ最新版!#REF!</definedName>
    <definedName name="_770A">[1]ｵｰﾄｸﾞﾗﾌﾃﾞｰﾀ最新版!#REF!</definedName>
    <definedName name="_780A">[1]ｵｰﾄｸﾞﾗﾌﾃﾞｰﾀ最新版!#REF!</definedName>
    <definedName name="_790A">[1]ｵｰﾄｸﾞﾗﾌﾃﾞｰﾀ最新版!#REF!</definedName>
    <definedName name="_800L">[1]ｵｰﾄｸﾞﾗﾌﾃﾞｰﾀ最新版!#REF!</definedName>
    <definedName name="_80W">[1]ｵｰﾄｸﾞﾗﾌﾃﾞｰﾀ最新版!#REF!</definedName>
    <definedName name="_810L">[1]ｵｰﾄｸﾞﾗﾌﾃﾞｰﾀ最新版!#REF!</definedName>
    <definedName name="_820L">[1]ｵｰﾄｸﾞﾗﾌﾃﾞｰﾀ最新版!#REF!</definedName>
    <definedName name="_830W">[1]ｵｰﾄｸﾞﾗﾌﾃﾞｰﾀ最新版!#REF!</definedName>
    <definedName name="_840W">[1]ｵｰﾄｸﾞﾗﾌﾃﾞｰﾀ最新版!#REF!</definedName>
    <definedName name="_850L">[1]ｵｰﾄｸﾞﾗﾌﾃﾞｰﾀ最新版!#REF!</definedName>
    <definedName name="_860L">[1]ｵｰﾄｸﾞﾗﾌﾃﾞｰﾀ最新版!#REF!</definedName>
    <definedName name="_870H">[1]ｵｰﾄｸﾞﾗﾌﾃﾞｰﾀ最新版!#REF!</definedName>
    <definedName name="_880H">[1]ｵｰﾄｸﾞﾗﾌﾃﾞｰﾀ最新版!#REF!</definedName>
    <definedName name="_890W">[1]ｵｰﾄｸﾞﾗﾌﾃﾞｰﾀ最新版!#REF!</definedName>
    <definedName name="_891W">[1]ｵｰﾄｸﾞﾗﾌﾃﾞｰﾀ最新版!#REF!</definedName>
    <definedName name="_900H">[1]ｵｰﾄｸﾞﾗﾌﾃﾞｰﾀ最新版!#REF!</definedName>
    <definedName name="_90W">[1]ｵｰﾄｸﾞﾗﾌﾃﾞｰﾀ最新版!#REF!</definedName>
    <definedName name="_910H">[1]ｵｰﾄｸﾞﾗﾌﾃﾞｰﾀ最新版!#REF!</definedName>
    <definedName name="_920H">[1]ｵｰﾄｸﾞﾗﾌﾃﾞｰﾀ最新版!#REF!</definedName>
    <definedName name="_930H">[1]ｵｰﾄｸﾞﾗﾌﾃﾞｰﾀ最新版!#REF!</definedName>
    <definedName name="_940H">[1]ｵｰﾄｸﾞﾗﾌﾃﾞｰﾀ最新版!#REF!</definedName>
    <definedName name="_950H">[1]ｵｰﾄｸﾞﾗﾌﾃﾞｰﾀ最新版!#REF!</definedName>
    <definedName name="_951W">[1]ｵｰﾄｸﾞﾗﾌﾃﾞｰﾀ最新版!#REF!</definedName>
    <definedName name="_960H">[1]ｵｰﾄｸﾞﾗﾌﾃﾞｰﾀ最新版!#REF!</definedName>
    <definedName name="_961W">[1]ｵｰﾄｸﾞﾗﾌﾃﾞｰﾀ最新版!#REF!</definedName>
    <definedName name="_970L">[1]ｵｰﾄｸﾞﾗﾌﾃﾞｰﾀ最新版!#REF!</definedName>
    <definedName name="_980L">[1]ｵｰﾄｸﾞﾗﾌﾃﾞｰﾀ最新版!#REF!</definedName>
    <definedName name="_990H">[1]ｵｰﾄｸﾞﾗﾌﾃﾞｰﾀ最新版!#REF!</definedName>
    <definedName name="_ei1" localSheetId="5" hidden="1">{#N/A,#N/A,TRUE,"RIDE";#N/A,#N/A,TRUE,"STEERING";#N/A,#N/A,TRUE,"HANDLING";#N/A,#N/A,TRUE,"BRAKING"}</definedName>
    <definedName name="_ei1" localSheetId="7" hidden="1">{#N/A,#N/A,TRUE,"RIDE";#N/A,#N/A,TRUE,"STEERING";#N/A,#N/A,TRUE,"HANDLING";#N/A,#N/A,TRUE,"BRAKING"}</definedName>
    <definedName name="_ei1" hidden="1">{#N/A,#N/A,TRUE,"RIDE";#N/A,#N/A,TRUE,"STEERING";#N/A,#N/A,TRUE,"HANDLING";#N/A,#N/A,TRUE,"BRAKING"}</definedName>
    <definedName name="_TQ1" localSheetId="5" hidden="1">{#N/A,#N/A,TRUE,"smooth ride";#N/A,#N/A,TRUE,"rough ride";#N/A,#N/A,TRUE,"parking";#N/A,#N/A,TRUE,"straight Control";#N/A,#N/A,TRUE,"corn control";#N/A,#N/A,TRUE,"Steer disturbance";#N/A,#N/A,TRUE,"Straight stab.";#N/A,#N/A,TRUE,"cornering stab.";#N/A,#N/A,TRUE,"braking";#N/A,#N/A,TRUE,"braking dist"}</definedName>
    <definedName name="_TQ1" localSheetId="7" hidden="1">{#N/A,#N/A,TRUE,"smooth ride";#N/A,#N/A,TRUE,"rough ride";#N/A,#N/A,TRUE,"parking";#N/A,#N/A,TRUE,"straight Control";#N/A,#N/A,TRUE,"corn control";#N/A,#N/A,TRUE,"Steer disturbance";#N/A,#N/A,TRUE,"Straight stab.";#N/A,#N/A,TRUE,"cornering stab.";#N/A,#N/A,TRUE,"braking";#N/A,#N/A,TRUE,"braking dist"}</definedName>
    <definedName name="_TQ1" hidden="1">{#N/A,#N/A,TRUE,"smooth ride";#N/A,#N/A,TRUE,"rough ride";#N/A,#N/A,TRUE,"parking";#N/A,#N/A,TRUE,"straight Control";#N/A,#N/A,TRUE,"corn control";#N/A,#N/A,TRUE,"Steer disturbance";#N/A,#N/A,TRUE,"Straight stab.";#N/A,#N/A,TRUE,"cornering stab.";#N/A,#N/A,TRUE,"braking";#N/A,#N/A,TRUE,"braking dist"}</definedName>
    <definedName name="_WR1" localSheetId="5" hidden="1">{#N/A,#N/A,TRUE,"smooth ride";#N/A,#N/A,TRUE,"rough ride";#N/A,#N/A,TRUE,"parking";#N/A,#N/A,TRUE,"straight Control";#N/A,#N/A,TRUE,"corn control";#N/A,#N/A,TRUE,"Steer disturbance";#N/A,#N/A,TRUE,"Straight stab.";#N/A,#N/A,TRUE,"cornering stab.";#N/A,#N/A,TRUE,"braking";#N/A,#N/A,TRUE,"braking dist"}</definedName>
    <definedName name="_WR1" localSheetId="7" hidden="1">{#N/A,#N/A,TRUE,"smooth ride";#N/A,#N/A,TRUE,"rough ride";#N/A,#N/A,TRUE,"parking";#N/A,#N/A,TRUE,"straight Control";#N/A,#N/A,TRUE,"corn control";#N/A,#N/A,TRUE,"Steer disturbance";#N/A,#N/A,TRUE,"Straight stab.";#N/A,#N/A,TRUE,"cornering stab.";#N/A,#N/A,TRUE,"braking";#N/A,#N/A,TRUE,"braking dist"}</definedName>
    <definedName name="_WR1" hidden="1">{#N/A,#N/A,TRUE,"smooth ride";#N/A,#N/A,TRUE,"rough ride";#N/A,#N/A,TRUE,"parking";#N/A,#N/A,TRUE,"straight Control";#N/A,#N/A,TRUE,"corn control";#N/A,#N/A,TRUE,"Steer disturbance";#N/A,#N/A,TRUE,"Straight stab.";#N/A,#N/A,TRUE,"cornering stab.";#N/A,#N/A,TRUE,"braking";#N/A,#N/A,TRUE,"braking dist"}</definedName>
    <definedName name="_WRT1" localSheetId="5" hidden="1">{#N/A,#N/A,TRUE,"RIDE";#N/A,#N/A,TRUE,"STEERING";#N/A,#N/A,TRUE,"HANDLING";#N/A,#N/A,TRUE,"BRAKING"}</definedName>
    <definedName name="_WRT1" localSheetId="7" hidden="1">{#N/A,#N/A,TRUE,"RIDE";#N/A,#N/A,TRUE,"STEERING";#N/A,#N/A,TRUE,"HANDLING";#N/A,#N/A,TRUE,"BRAKING"}</definedName>
    <definedName name="_WRT1" hidden="1">{#N/A,#N/A,TRUE,"RIDE";#N/A,#N/A,TRUE,"STEERING";#N/A,#N/A,TRUE,"HANDLING";#N/A,#N/A,TRUE,"BRAKING"}</definedName>
    <definedName name="a">[3]チーム案2英語!#REF!</definedName>
    <definedName name="abc" localSheetId="5" hidden="1">{#N/A,#N/A,TRUE,"RIDE";#N/A,#N/A,TRUE,"STEERING";#N/A,#N/A,TRUE,"HANDLING";#N/A,#N/A,TRUE,"BRAKING"}</definedName>
    <definedName name="abc" localSheetId="7" hidden="1">{#N/A,#N/A,TRUE,"RIDE";#N/A,#N/A,TRUE,"STEERING";#N/A,#N/A,TRUE,"HANDLING";#N/A,#N/A,TRUE,"BRAKING"}</definedName>
    <definedName name="abc" hidden="1">{#N/A,#N/A,TRUE,"RIDE";#N/A,#N/A,TRUE,"STEERING";#N/A,#N/A,TRUE,"HANDLING";#N/A,#N/A,TRUE,"BRAKING"}</definedName>
    <definedName name="ACURA">[4]検索条件メイク!#REF!</definedName>
    <definedName name="ALFA">[4]検索条件メイク!#REF!</definedName>
    <definedName name="APPLY">#REF!</definedName>
    <definedName name="APPLY_DUMMY">#REF!</definedName>
    <definedName name="AUDI">[4]検索条件メイク!#REF!</definedName>
    <definedName name="BASIC">#REF!</definedName>
    <definedName name="BENZ">[4]検索条件メイク!#REF!</definedName>
    <definedName name="BMW">[4]検索条件メイク!#REF!</definedName>
    <definedName name="B実FSS">[5]B実部ﾃｽﾄ別工数!#REF!</definedName>
    <definedName name="CADILLAC_">[6]検索条件メイク!$67:$68</definedName>
    <definedName name="CCCｹｰｽ単価">[7]③Caseﾃｰﾌﾞﾙ!$G$6:$L$7</definedName>
    <definedName name="CCCｹｰｽ容量">[7]③Caseﾃｰﾌﾞﾙ!$G$5:$L$5</definedName>
    <definedName name="CCC種類">[7]③Caseﾃｰﾌﾞﾙ!$C$6:$C$7</definedName>
    <definedName name="coefficient">[8]SUM14ZC1!#REF!</definedName>
    <definedName name="coefficient1">[9]SUM14ZC1!#REF!</definedName>
    <definedName name="_xlnm.Criteria">#REF!</definedName>
    <definedName name="DAEWOO">#REF!</definedName>
    <definedName name="DAIHATSU">[4]検索条件メイク!#REF!</definedName>
    <definedName name="data">#REF!</definedName>
    <definedName name="_xlnm.Database">#REF!</definedName>
    <definedName name="DB">#REF!</definedName>
    <definedName name="dm">'[10]Top22(GER)'!#REF!</definedName>
    <definedName name="DMY">#REF!</definedName>
    <definedName name="DMYA">'[11]入力-Ａ'!$D$1</definedName>
    <definedName name="DMYB">'[11]入力-Ｂ'!$D$1</definedName>
    <definedName name="DMYC">#REF!</definedName>
    <definedName name="Dome.Pass.">#REF!</definedName>
    <definedName name="DTC">[12]DTC!$A$2:$A$8880</definedName>
    <definedName name="ECUAcronym">[12]Master!$B$4:$B$40</definedName>
    <definedName name="ei" localSheetId="5" hidden="1">{#N/A,#N/A,TRUE,"RIDE";#N/A,#N/A,TRUE,"STEERING";#N/A,#N/A,TRUE,"HANDLING";#N/A,#N/A,TRUE,"BRAKING"}</definedName>
    <definedName name="ei" localSheetId="7" hidden="1">{#N/A,#N/A,TRUE,"RIDE";#N/A,#N/A,TRUE,"STEERING";#N/A,#N/A,TRUE,"HANDLING";#N/A,#N/A,TRUE,"BRAKING"}</definedName>
    <definedName name="ei" hidden="1">{#N/A,#N/A,TRUE,"RIDE";#N/A,#N/A,TRUE,"STEERING";#N/A,#N/A,TRUE,"HANDLING";#N/A,#N/A,TRUE,"BRAKING"}</definedName>
    <definedName name="_xlnm.Extract">[1]ｵｰﾄｸﾞﾗﾌﾃﾞｰﾀ最新版!$A$536:$R$536</definedName>
    <definedName name="FERRARI">[4]検索条件メイク!#REF!</definedName>
    <definedName name="FTB">[12]Master!$B$46:$B$147</definedName>
    <definedName name="GetEnv">-360120320</definedName>
    <definedName name="hh" localSheetId="5" hidden="1">{#N/A,#N/A,TRUE,"RIDE";#N/A,#N/A,TRUE,"STEERING";#N/A,#N/A,TRUE,"HANDLING";#N/A,#N/A,TRUE,"BRAKING"}</definedName>
    <definedName name="hh" localSheetId="7" hidden="1">{#N/A,#N/A,TRUE,"RIDE";#N/A,#N/A,TRUE,"STEERING";#N/A,#N/A,TRUE,"HANDLING";#N/A,#N/A,TRUE,"BRAKING"}</definedName>
    <definedName name="hh" hidden="1">{#N/A,#N/A,TRUE,"RIDE";#N/A,#N/A,TRUE,"STEERING";#N/A,#N/A,TRUE,"HANDLING";#N/A,#N/A,TRUE,"BRAKING"}</definedName>
    <definedName name="HIGH">#REF!</definedName>
    <definedName name="HIGH_2NBS">#REF!</definedName>
    <definedName name="HONDA">[4]検索条件メイク!#REF!</definedName>
    <definedName name="HYUNDAI">[4]検索条件メイク!#REF!</definedName>
    <definedName name="INFINITI">[4]検索条件メイク!#REF!</definedName>
    <definedName name="ISUZU">[4]検索条件メイク!#REF!</definedName>
    <definedName name="Ｊ２５Ｚ">#REF!</definedName>
    <definedName name="J25Z_DPA部品ﾘｽﾄ">#REF!</definedName>
    <definedName name="JAGUAR">[4]検索条件メイク!#REF!</definedName>
    <definedName name="KIA">[4]検索条件メイク!#REF!</definedName>
    <definedName name="L319_L359_Analysis">'[13]CAN Comparison Sheet'!#REF!</definedName>
    <definedName name="L319_X250_Analysis">'[13]CAN Comparison Sheet'!#REF!</definedName>
    <definedName name="lab">'[14]Top22(GBP)'!$C$32</definedName>
    <definedName name="LAMBORGHINI">[4]検索条件メイク!#REF!</definedName>
    <definedName name="LEXUS">[4]検索条件メイク!#REF!</definedName>
    <definedName name="LINCOLN">#REF!</definedName>
    <definedName name="LINCOLN_">[6]検索条件メイク!$76:$77</definedName>
    <definedName name="list_area">#REF!</definedName>
    <definedName name="List_Header">#REF!</definedName>
    <definedName name="LOTUS">[4]検索条件メイク!#REF!</definedName>
    <definedName name="LOWER">#REF!</definedName>
    <definedName name="MASERATI">[4]検索条件メイク!#REF!</definedName>
    <definedName name="MAZ_BASIC">#REF!</definedName>
    <definedName name="MAZ_HIGH">#REF!</definedName>
    <definedName name="MAZ_HIGH_2NBS">#REF!</definedName>
    <definedName name="MAZ_LOWER">#REF!</definedName>
    <definedName name="MAZ_MIDDLE">#REF!</definedName>
    <definedName name="MAZ_UM">#REF!</definedName>
    <definedName name="MAZ_UM_2NBS">#REF!</definedName>
    <definedName name="MAZ_UPPER">#REF!</definedName>
    <definedName name="MAZ_UPPER_2NBS">#REF!</definedName>
    <definedName name="MAZDA">[4]検索条件メイク!#REF!</definedName>
    <definedName name="MERCEDES_">[6]検索条件メイク!$50:$51</definedName>
    <definedName name="MERCUR">[4]検索条件メイク!#REF!</definedName>
    <definedName name="MERCURY">#REF!</definedName>
    <definedName name="MIDDLE">#REF!</definedName>
    <definedName name="MITSUBISHI">[4]検索条件メイク!#REF!</definedName>
    <definedName name="MPA">#REF!</definedName>
    <definedName name="N">#REF!</definedName>
    <definedName name="NeCST_2">#REF!</definedName>
    <definedName name="NISSAN">[4]検索条件メイク!#REF!</definedName>
    <definedName name="O_担体単価">[7]②担体・加工ﾃｰﾌﾞﾙ!$M$11:$O$22</definedName>
    <definedName name="OVALｻｲｽﾞ">[7]②担体・加工ﾃｰﾌﾞﾙ!$E$11:$E$22</definedName>
    <definedName name="P2_ECUType">[15]Header!$D$26:$D$29</definedName>
    <definedName name="P2_ValidDTCs">[15]ECUDTCs!$E$7:$E$240</definedName>
    <definedName name="PARTS_DATA">#REF!</definedName>
    <definedName name="percentage">[8]SUM14ZC1!#REF!</definedName>
    <definedName name="percentage1">[9]SUM14ZC1!#REF!</definedName>
    <definedName name="PEUGEOT">[4]検索条件メイク!#REF!</definedName>
    <definedName name="PFILENM">#REF!</definedName>
    <definedName name="PM_TYPE">[7]②担体・加工ﾃｰﾌﾞﾙ!$U$10:$BM$10</definedName>
    <definedName name="PM_TYPE2">[7]②担体・加工ﾃｰﾌﾞﾙ!$BR$10:$CN$10</definedName>
    <definedName name="PMｸﾞﾚｰﾄﾞ">[7]①PMﾃｰﾌﾞﾙ!$E$11:$E$41</definedName>
    <definedName name="PM一覧">[7]①PMﾃｰﾌﾞﾙ!$D$11:$K$41</definedName>
    <definedName name="PM単価">[7]①PMﾃｰﾌﾞﾙ!$T$11:$AM$41</definedName>
    <definedName name="PM容量">[7]①PMﾃｰﾌﾞﾙ!$T$10:$AM$10</definedName>
    <definedName name="PORSCHE">[4]検索条件メイク!#REF!</definedName>
    <definedName name="print">#REF!</definedName>
    <definedName name="_xlnm.Print_Area" localSheetId="0">Index!$A$1:$F$13</definedName>
    <definedName name="_xlnm.Print_Area" localSheetId="1">Outline!$A$1:$R$88</definedName>
    <definedName name="_xlnm.Print_Area" localSheetId="7">#REF!</definedName>
    <definedName name="_xlnm.Print_Area">#REF!</definedName>
    <definedName name="Print_Aus" localSheetId="7">#REF!</definedName>
    <definedName name="Print_Aus">#REF!</definedName>
    <definedName name="Print_EC" localSheetId="7">#REF!</definedName>
    <definedName name="Print_EC">#REF!</definedName>
    <definedName name="PROJCT_LIST">#REF!</definedName>
    <definedName name="project">[8]SUM14ZC1!#REF!</definedName>
    <definedName name="project_list">[8]SUM14ZC1!#REF!</definedName>
    <definedName name="project_list1">[9]SUM14ZC1!#REF!</definedName>
    <definedName name="project1">[9]SUM14ZC1!#REF!</definedName>
    <definedName name="Q_ΣSPLR_商品名">#REF!</definedName>
    <definedName name="Q_ｻﾌﾟﾗｲﾔｰ名">#REF!</definedName>
    <definedName name="ｑｑ" localSheetId="5" hidden="1">{#N/A,#N/A,TRUE,"RIDE";#N/A,#N/A,TRUE,"STEERING";#N/A,#N/A,TRUE,"HANDLING";#N/A,#N/A,TRUE,"BRAKING"}</definedName>
    <definedName name="ｑｑ" localSheetId="7" hidden="1">{#N/A,#N/A,TRUE,"RIDE";#N/A,#N/A,TRUE,"STEERING";#N/A,#N/A,TRUE,"HANDLING";#N/A,#N/A,TRUE,"BRAKING"}</definedName>
    <definedName name="ｑｑ" hidden="1">{#N/A,#N/A,TRUE,"RIDE";#N/A,#N/A,TRUE,"STEERING";#N/A,#N/A,TRUE,"HANDLING";#N/A,#N/A,TRUE,"BRAKING"}</definedName>
    <definedName name="ｑｑｑｑｑ" localSheetId="5" hidden="1">{#N/A,#N/A,TRUE,"RIDE";#N/A,#N/A,TRUE,"STEERING";#N/A,#N/A,TRUE,"HANDLING";#N/A,#N/A,TRUE,"BRAKING"}</definedName>
    <definedName name="ｑｑｑｑｑ" localSheetId="7" hidden="1">{#N/A,#N/A,TRUE,"RIDE";#N/A,#N/A,TRUE,"STEERING";#N/A,#N/A,TRUE,"HANDLING";#N/A,#N/A,TRUE,"BRAKING"}</definedName>
    <definedName name="ｑｑｑｑｑ" hidden="1">{#N/A,#N/A,TRUE,"RIDE";#N/A,#N/A,TRUE,"STEERING";#N/A,#N/A,TRUE,"HANDLING";#N/A,#N/A,TRUE,"BRAKING"}</definedName>
    <definedName name="R_C">[12]Master!#REF!</definedName>
    <definedName name="R_担体単価">[7]②担体・加工ﾃｰﾌﾞﾙ!$M$23:$O$30</definedName>
    <definedName name="RENAULT">#REF!</definedName>
    <definedName name="REP_CELL">[16]ｸﾞﾗﾌﾃﾞｰﾀ!$B$43</definedName>
    <definedName name="ROUNDｻｲｽﾞ">[7]②担体・加工ﾃｰﾌﾞﾙ!$E$23:$E$30</definedName>
    <definedName name="SAAB">[4]検索条件メイク!#REF!</definedName>
    <definedName name="sss" localSheetId="5" hidden="1">{#N/A,#N/A,TRUE,"RIDE";#N/A,#N/A,TRUE,"STEERING";#N/A,#N/A,TRUE,"HANDLING";#N/A,#N/A,TRUE,"BRAKING"}</definedName>
    <definedName name="sss" localSheetId="7" hidden="1">{#N/A,#N/A,TRUE,"RIDE";#N/A,#N/A,TRUE,"STEERING";#N/A,#N/A,TRUE,"HANDLING";#N/A,#N/A,TRUE,"BRAKING"}</definedName>
    <definedName name="sss" hidden="1">{#N/A,#N/A,TRUE,"RIDE";#N/A,#N/A,TRUE,"STEERING";#N/A,#N/A,TRUE,"HANDLING";#N/A,#N/A,TRUE,"BRAKING"}</definedName>
    <definedName name="START">#REF!</definedName>
    <definedName name="STEP">#REF!</definedName>
    <definedName name="STERLING">[4]検索条件メイク!#REF!</definedName>
    <definedName name="SUBARU">[4]検索条件メイク!#REF!</definedName>
    <definedName name="SUZUKI">[4]検索条件メイク!#REF!</definedName>
    <definedName name="T_PTD_PrjMonthly">#REF!</definedName>
    <definedName name="T_VDOutLrg">#REF!</definedName>
    <definedName name="Table_Fields情報">[17]P12TQF!#REF!</definedName>
    <definedName name="TANNI">[2]車両質量一覧!#REF!</definedName>
    <definedName name="TOYOTA">[4]検索条件メイク!#REF!</definedName>
    <definedName name="TQ" localSheetId="5" hidden="1">{#N/A,#N/A,TRUE,"smooth ride";#N/A,#N/A,TRUE,"rough ride";#N/A,#N/A,TRUE,"parking";#N/A,#N/A,TRUE,"straight Control";#N/A,#N/A,TRUE,"corn control";#N/A,#N/A,TRUE,"Steer disturbance";#N/A,#N/A,TRUE,"Straight stab.";#N/A,#N/A,TRUE,"cornering stab.";#N/A,#N/A,TRUE,"braking";#N/A,#N/A,TRUE,"braking dist"}</definedName>
    <definedName name="TQ" localSheetId="7" hidden="1">{#N/A,#N/A,TRUE,"smooth ride";#N/A,#N/A,TRUE,"rough ride";#N/A,#N/A,TRUE,"parking";#N/A,#N/A,TRUE,"straight Control";#N/A,#N/A,TRUE,"corn control";#N/A,#N/A,TRUE,"Steer disturbance";#N/A,#N/A,TRUE,"Straight stab.";#N/A,#N/A,TRUE,"cornering stab.";#N/A,#N/A,TRUE,"braking";#N/A,#N/A,TRUE,"braking dist"}</definedName>
    <definedName name="TQ" hidden="1">{#N/A,#N/A,TRUE,"smooth ride";#N/A,#N/A,TRUE,"rough ride";#N/A,#N/A,TRUE,"parking";#N/A,#N/A,TRUE,"straight Control";#N/A,#N/A,TRUE,"corn control";#N/A,#N/A,TRUE,"Steer disturbance";#N/A,#N/A,TRUE,"Straight stab.";#N/A,#N/A,TRUE,"cornering stab.";#N/A,#N/A,TRUE,"braking";#N/A,#N/A,TRUE,"braking dist"}</definedName>
    <definedName name="TQ要望Graf" localSheetId="5" hidden="1">{#N/A,#N/A,TRUE,"smooth ride";#N/A,#N/A,TRUE,"rough ride";#N/A,#N/A,TRUE,"parking";#N/A,#N/A,TRUE,"straight Control";#N/A,#N/A,TRUE,"corn control";#N/A,#N/A,TRUE,"Steer disturbance";#N/A,#N/A,TRUE,"Straight stab.";#N/A,#N/A,TRUE,"cornering stab.";#N/A,#N/A,TRUE,"braking";#N/A,#N/A,TRUE,"braking dist"}</definedName>
    <definedName name="TQ要望Graf" localSheetId="7" hidden="1">{#N/A,#N/A,TRUE,"smooth ride";#N/A,#N/A,TRUE,"rough ride";#N/A,#N/A,TRUE,"parking";#N/A,#N/A,TRUE,"straight Control";#N/A,#N/A,TRUE,"corn control";#N/A,#N/A,TRUE,"Steer disturbance";#N/A,#N/A,TRUE,"Straight stab.";#N/A,#N/A,TRUE,"cornering stab.";#N/A,#N/A,TRUE,"braking";#N/A,#N/A,TRUE,"braking dist"}</definedName>
    <definedName name="TQ要望Graf" hidden="1">{#N/A,#N/A,TRUE,"smooth ride";#N/A,#N/A,TRUE,"rough ride";#N/A,#N/A,TRUE,"parking";#N/A,#N/A,TRUE,"straight Control";#N/A,#N/A,TRUE,"corn control";#N/A,#N/A,TRUE,"Steer disturbance";#N/A,#N/A,TRUE,"Straight stab.";#N/A,#N/A,TRUE,"cornering stab.";#N/A,#N/A,TRUE,"braking";#N/A,#N/A,TRUE,"braking dist"}</definedName>
    <definedName name="ｔｔｔ" localSheetId="5" hidden="1">{#N/A,#N/A,TRUE,"smooth ride";#N/A,#N/A,TRUE,"rough ride";#N/A,#N/A,TRUE,"parking";#N/A,#N/A,TRUE,"straight Control";#N/A,#N/A,TRUE,"corn control";#N/A,#N/A,TRUE,"Steer disturbance";#N/A,#N/A,TRUE,"Straight stab.";#N/A,#N/A,TRUE,"cornering stab.";#N/A,#N/A,TRUE,"braking";#N/A,#N/A,TRUE,"braking dist"}</definedName>
    <definedName name="ｔｔｔ" localSheetId="7" hidden="1">{#N/A,#N/A,TRUE,"smooth ride";#N/A,#N/A,TRUE,"rough ride";#N/A,#N/A,TRUE,"parking";#N/A,#N/A,TRUE,"straight Control";#N/A,#N/A,TRUE,"corn control";#N/A,#N/A,TRUE,"Steer disturbance";#N/A,#N/A,TRUE,"Straight stab.";#N/A,#N/A,TRUE,"cornering stab.";#N/A,#N/A,TRUE,"braking";#N/A,#N/A,TRUE,"braking dist"}</definedName>
    <definedName name="ｔｔｔ" hidden="1">{#N/A,#N/A,TRUE,"smooth ride";#N/A,#N/A,TRUE,"rough ride";#N/A,#N/A,TRUE,"parking";#N/A,#N/A,TRUE,"straight Control";#N/A,#N/A,TRUE,"corn control";#N/A,#N/A,TRUE,"Steer disturbance";#N/A,#N/A,TRUE,"Straight stab.";#N/A,#N/A,TRUE,"cornering stab.";#N/A,#N/A,TRUE,"braking";#N/A,#N/A,TRUE,"braking dist"}</definedName>
    <definedName name="UCATｹｰｽ容量">[7]③Caseﾃｰﾌﾞﾙ!$M$5:$P$5</definedName>
    <definedName name="UFILENM">#REF!</definedName>
    <definedName name="ukp">'[10]Top22(GER)'!#REF!</definedName>
    <definedName name="UM">#REF!</definedName>
    <definedName name="UM_2NBS">#REF!</definedName>
    <definedName name="UPPER">#REF!</definedName>
    <definedName name="UPPER_2NBS">#REF!</definedName>
    <definedName name="VOLVO">[4]検索条件メイク!#REF!</definedName>
    <definedName name="VW">[4]検索条件メイク!#REF!</definedName>
    <definedName name="WR" localSheetId="5" hidden="1">{#N/A,#N/A,TRUE,"smooth ride";#N/A,#N/A,TRUE,"rough ride";#N/A,#N/A,TRUE,"parking";#N/A,#N/A,TRUE,"straight Control";#N/A,#N/A,TRUE,"corn control";#N/A,#N/A,TRUE,"Steer disturbance";#N/A,#N/A,TRUE,"Straight stab.";#N/A,#N/A,TRUE,"cornering stab.";#N/A,#N/A,TRUE,"braking";#N/A,#N/A,TRUE,"braking dist"}</definedName>
    <definedName name="WR" localSheetId="7" hidden="1">{#N/A,#N/A,TRUE,"smooth ride";#N/A,#N/A,TRUE,"rough ride";#N/A,#N/A,TRUE,"parking";#N/A,#N/A,TRUE,"straight Control";#N/A,#N/A,TRUE,"corn control";#N/A,#N/A,TRUE,"Steer disturbance";#N/A,#N/A,TRUE,"Straight stab.";#N/A,#N/A,TRUE,"cornering stab.";#N/A,#N/A,TRUE,"braking";#N/A,#N/A,TRUE,"braking dist"}</definedName>
    <definedName name="WR" hidden="1">{#N/A,#N/A,TRUE,"smooth ride";#N/A,#N/A,TRUE,"rough ride";#N/A,#N/A,TRUE,"parking";#N/A,#N/A,TRUE,"straight Control";#N/A,#N/A,TRUE,"corn control";#N/A,#N/A,TRUE,"Steer disturbance";#N/A,#N/A,TRUE,"Straight stab.";#N/A,#N/A,TRUE,"cornering stab.";#N/A,#N/A,TRUE,"braking";#N/A,#N/A,TRUE,"braking dist"}</definedName>
    <definedName name="wrn.r202total." localSheetId="5" hidden="1">{#N/A,#N/A,TRUE,"smooth ride";#N/A,#N/A,TRUE,"rough ride";#N/A,#N/A,TRUE,"parking";#N/A,#N/A,TRUE,"straight Control";#N/A,#N/A,TRUE,"corn control";#N/A,#N/A,TRUE,"Steer disturbance";#N/A,#N/A,TRUE,"Straight stab.";#N/A,#N/A,TRUE,"cornering stab.";#N/A,#N/A,TRUE,"braking";#N/A,#N/A,TRUE,"braking dist"}</definedName>
    <definedName name="wrn.r202total." localSheetId="7" hidden="1">{#N/A,#N/A,TRUE,"smooth ride";#N/A,#N/A,TRUE,"rough ride";#N/A,#N/A,TRUE,"parking";#N/A,#N/A,TRUE,"straight Control";#N/A,#N/A,TRUE,"corn control";#N/A,#N/A,TRUE,"Steer disturbance";#N/A,#N/A,TRUE,"Straight stab.";#N/A,#N/A,TRUE,"cornering stab.";#N/A,#N/A,TRUE,"braking";#N/A,#N/A,TRUE,"braking dist"}</definedName>
    <definedName name="wrn.r202total." hidden="1">{#N/A,#N/A,TRUE,"smooth ride";#N/A,#N/A,TRUE,"rough ride";#N/A,#N/A,TRUE,"parking";#N/A,#N/A,TRUE,"straight Control";#N/A,#N/A,TRUE,"corn control";#N/A,#N/A,TRUE,"Steer disturbance";#N/A,#N/A,TRUE,"Straight stab.";#N/A,#N/A,TRUE,"cornering stab.";#N/A,#N/A,TRUE,"braking";#N/A,#N/A,TRUE,"braking dist"}</definedName>
    <definedName name="wrn.target." localSheetId="5" hidden="1">{#N/A,#N/A,TRUE,"RIDE";#N/A,#N/A,TRUE,"STEERING";#N/A,#N/A,TRUE,"HANDLING";#N/A,#N/A,TRUE,"BRAKING"}</definedName>
    <definedName name="wrn.target." localSheetId="7" hidden="1">{#N/A,#N/A,TRUE,"RIDE";#N/A,#N/A,TRUE,"STEERING";#N/A,#N/A,TRUE,"HANDLING";#N/A,#N/A,TRUE,"BRAKING"}</definedName>
    <definedName name="wrn.target." hidden="1">{#N/A,#N/A,TRUE,"RIDE";#N/A,#N/A,TRUE,"STEERING";#N/A,#N/A,TRUE,"HANDLING";#N/A,#N/A,TRUE,"BRAKING"}</definedName>
    <definedName name="WRT" localSheetId="5" hidden="1">{#N/A,#N/A,TRUE,"RIDE";#N/A,#N/A,TRUE,"STEERING";#N/A,#N/A,TRUE,"HANDLING";#N/A,#N/A,TRUE,"BRAKING"}</definedName>
    <definedName name="WRT" localSheetId="7" hidden="1">{#N/A,#N/A,TRUE,"RIDE";#N/A,#N/A,TRUE,"STEERING";#N/A,#N/A,TRUE,"HANDLING";#N/A,#N/A,TRUE,"BRAKING"}</definedName>
    <definedName name="WRT" hidden="1">{#N/A,#N/A,TRUE,"RIDE";#N/A,#N/A,TRUE,"STEERING";#N/A,#N/A,TRUE,"HANDLING";#N/A,#N/A,TRUE,"BRAKING"}</definedName>
    <definedName name="WTR" localSheetId="5" hidden="1">{#N/A,#N/A,TRUE,"RIDE";#N/A,#N/A,TRUE,"STEERING";#N/A,#N/A,TRUE,"HANDLING";#N/A,#N/A,TRUE,"BRAKING"}</definedName>
    <definedName name="WTR" localSheetId="7" hidden="1">{#N/A,#N/A,TRUE,"RIDE";#N/A,#N/A,TRUE,"STEERING";#N/A,#N/A,TRUE,"HANDLING";#N/A,#N/A,TRUE,"BRAKING"}</definedName>
    <definedName name="WTR" hidden="1">{#N/A,#N/A,TRUE,"RIDE";#N/A,#N/A,TRUE,"STEERING";#N/A,#N/A,TRUE,"HANDLING";#N/A,#N/A,TRUE,"BRAKING"}</definedName>
    <definedName name="Y">#REF!</definedName>
    <definedName name="YUGO">[4]検索条件メイク!#REF!</definedName>
    <definedName name="ええ">[18]チーム案2英語!#REF!</definedName>
    <definedName name="ｹｰｽ単価1Bed">[7]③Caseﾃｰﾌﾞﾙ!$M$15:$P$32</definedName>
    <definedName name="ｹｰｽ単価2Bed">[7]③Caseﾃｰﾌﾞﾙ!$M$35:$P$77</definedName>
    <definedName name="ｻｲｽﾞ">[7]②担体・加工ﾃｰﾌﾞﾙ!$E$11:$E$30</definedName>
    <definedName name="ｾﾙﾐﾙTYPE">[7]②担体・加工ﾃｰﾌﾞﾙ!$M$7:$O$7</definedName>
    <definedName name="ﾃﾞｰﾀｰ３">[19]チーム案2英語!#REF!</definedName>
    <definedName name="ﾃﾞｰﾀｰﾍﾞｰｽ1">[20]J21KPL!#REF!</definedName>
    <definedName name="ﾃﾞｰﾀｰﾍﾞｰｽ2">[20]J21KPL!#REF!</definedName>
    <definedName name="ﾃﾞｰﾀｰﾍﾞｰｽ3">[20]J21KPL!#REF!</definedName>
    <definedName name="ﾃﾞｰﾀｰﾍﾞｰｽ4">[20]J21KPL!#REF!</definedName>
    <definedName name="ﾃﾞｰﾀｰﾍﾞｰｽ5">[20]J21KPL!#REF!</definedName>
    <definedName name="ﾃﾞｰﾀｰﾍﾞｰｽ6">[20]J21KPL!#REF!</definedName>
    <definedName name="ﾃﾞｰﾀｰﾍﾞｰｽ7">[20]J21KPL!#REF!</definedName>
    <definedName name="ﾃﾞｰﾀｰﾍﾞｰｽ8">[20]J21KPL!#REF!</definedName>
    <definedName name="データベース" localSheetId="7">#REF!</definedName>
    <definedName name="データベース">#REF!</definedName>
    <definedName name="ﾃｽﾄNo.">[21]実車委託書!$C$13</definedName>
    <definedName name="ﾌｨｰﾙﾄﾞ1">[20]J21KPL!#REF!</definedName>
    <definedName name="ﾌｨｰﾙﾄﾞ2">[20]J21KPL!#REF!</definedName>
    <definedName name="ﾌﾟﾛｼﾞｪｸﾄ">[22]実車委託書!$C$14</definedName>
    <definedName name="ﾓﾉ容量1Bed">[7]③Caseﾃｰﾌﾞﾙ!$F$15:$F$32</definedName>
    <definedName name="ﾓﾉ容量2Bed">[7]③Caseﾃｰﾌﾞﾙ!$F$35:$F$77</definedName>
    <definedName name="委託番号">[23]ﾊﾞﾝﾊﾟｰ性能委託書!$D$15</definedName>
    <definedName name="印刷タイトル" localSheetId="7">#REF!</definedName>
    <definedName name="印刷タイトル">#REF!</definedName>
    <definedName name="英" localSheetId="5" hidden="1">{#N/A,#N/A,TRUE,"RIDE";#N/A,#N/A,TRUE,"STEERING";#N/A,#N/A,TRUE,"HANDLING";#N/A,#N/A,TRUE,"BRAKING"}</definedName>
    <definedName name="英" localSheetId="7" hidden="1">{#N/A,#N/A,TRUE,"RIDE";#N/A,#N/A,TRUE,"STEERING";#N/A,#N/A,TRUE,"HANDLING";#N/A,#N/A,TRUE,"BRAKING"}</definedName>
    <definedName name="英" hidden="1">{#N/A,#N/A,TRUE,"RIDE";#N/A,#N/A,TRUE,"STEERING";#N/A,#N/A,TRUE,"HANDLING";#N/A,#N/A,TRUE,"BRAKING"}</definedName>
    <definedName name="加工費1">[7]②担体・加工ﾃｰﾌﾞﾙ!$U$11:$BM$30</definedName>
    <definedName name="加工費2">[7]②担体・加工ﾃｰﾌﾞﾙ!$BR$11:$CN$30</definedName>
    <definedName name="検索条件">#REF!</definedName>
    <definedName name="検索条件1">[20]J21KPL!#REF!</definedName>
    <definedName name="検索条件10">[20]J21KPL!#REF!</definedName>
    <definedName name="検索条件2">[20]J21KPL!#REF!</definedName>
    <definedName name="検索条件3">[20]J21KPL!#REF!</definedName>
    <definedName name="検索条件4">[20]J21KPL!#REF!</definedName>
    <definedName name="検索条件5">[20]J21KPL!#REF!</definedName>
    <definedName name="検索条件6">[20]J21KPL!#REF!</definedName>
    <definedName name="検索条件7">[20]J21KPL!#REF!</definedName>
    <definedName name="検索条件8">[20]J21KPL!#REF!</definedName>
    <definedName name="検索条件9">[20]J21KPL!#REF!</definedName>
    <definedName name="商品マイナー" localSheetId="7">#REF!,#REF!</definedName>
    <definedName name="商品マイナー">#REF!,#REF!</definedName>
    <definedName name="商品モデル" localSheetId="7">#REF!</definedName>
    <definedName name="商品モデル">#REF!</definedName>
    <definedName name="生成多項式とLook_up_tableについて">Outline!$B$58</definedName>
    <definedName name="担当者">[23]ﾊﾞﾝﾊﾟｰ性能委託書!$O$11</definedName>
    <definedName name="翻訳完了" localSheetId="7">#REF!</definedName>
    <definedName name="翻訳完了">#REF!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V16" i="9" l="1"/>
  <c r="IV17" i="9" s="1"/>
  <c r="IR16" i="9"/>
  <c r="IR17" i="9" s="1"/>
  <c r="IR18" i="9" s="1"/>
  <c r="IN16" i="9"/>
  <c r="IN17" i="9" s="1"/>
  <c r="IJ16" i="9"/>
  <c r="IJ17" i="9" s="1"/>
  <c r="IJ18" i="9" s="1"/>
  <c r="IF16" i="9"/>
  <c r="IF17" i="9" s="1"/>
  <c r="IB16" i="9"/>
  <c r="IB17" i="9" s="1"/>
  <c r="IB18" i="9" s="1"/>
  <c r="HX16" i="9"/>
  <c r="HX17" i="9" s="1"/>
  <c r="HT16" i="9"/>
  <c r="HT17" i="9" s="1"/>
  <c r="HP16" i="9"/>
  <c r="HP17" i="9" s="1"/>
  <c r="HL16" i="9"/>
  <c r="HL17" i="9" s="1"/>
  <c r="HL18" i="9" s="1"/>
  <c r="HH16" i="9"/>
  <c r="HH17" i="9" s="1"/>
  <c r="HD16" i="9"/>
  <c r="HD17" i="9" s="1"/>
  <c r="HD18" i="9" s="1"/>
  <c r="GZ16" i="9"/>
  <c r="GZ17" i="9" s="1"/>
  <c r="GV16" i="9"/>
  <c r="GV17" i="9" s="1"/>
  <c r="GV18" i="9" s="1"/>
  <c r="GR16" i="9"/>
  <c r="GR17" i="9" s="1"/>
  <c r="GN16" i="9"/>
  <c r="GN17" i="9" s="1"/>
  <c r="GN18" i="9" s="1"/>
  <c r="GJ16" i="9"/>
  <c r="GJ17" i="9" s="1"/>
  <c r="GF16" i="9"/>
  <c r="GF17" i="9" s="1"/>
  <c r="GF18" i="9" s="1"/>
  <c r="GB16" i="9"/>
  <c r="GB17" i="9" s="1"/>
  <c r="FX16" i="9"/>
  <c r="FX17" i="9" s="1"/>
  <c r="FX18" i="9" s="1"/>
  <c r="FT16" i="9"/>
  <c r="FT17" i="9" s="1"/>
  <c r="FP16" i="9"/>
  <c r="FP17" i="9" s="1"/>
  <c r="FP18" i="9" s="1"/>
  <c r="FL16" i="9"/>
  <c r="FL17" i="9" s="1"/>
  <c r="FH16" i="9"/>
  <c r="FH17" i="9" s="1"/>
  <c r="FD16" i="9"/>
  <c r="FD17" i="9" s="1"/>
  <c r="EZ16" i="9"/>
  <c r="EZ17" i="9" s="1"/>
  <c r="EZ18" i="9" s="1"/>
  <c r="EV16" i="9"/>
  <c r="EV17" i="9" s="1"/>
  <c r="ER16" i="9"/>
  <c r="ER17" i="9" s="1"/>
  <c r="ER18" i="9" s="1"/>
  <c r="EN16" i="9"/>
  <c r="EN17" i="9" s="1"/>
  <c r="EJ16" i="9"/>
  <c r="EJ17" i="9" s="1"/>
  <c r="EJ18" i="9" s="1"/>
  <c r="EF16" i="9"/>
  <c r="EF17" i="9" s="1"/>
  <c r="EB16" i="9"/>
  <c r="EB17" i="9" s="1"/>
  <c r="DX16" i="9"/>
  <c r="DX17" i="9" s="1"/>
  <c r="DT16" i="9"/>
  <c r="DT17" i="9" s="1"/>
  <c r="DT18" i="9" s="1"/>
  <c r="DP16" i="9"/>
  <c r="DP17" i="9" s="1"/>
  <c r="DL16" i="9"/>
  <c r="DL17" i="9" s="1"/>
  <c r="DL18" i="9" s="1"/>
  <c r="DH16" i="9"/>
  <c r="DH17" i="9" s="1"/>
  <c r="DD16" i="9"/>
  <c r="DD17" i="9" s="1"/>
  <c r="DD18" i="9" s="1"/>
  <c r="CZ16" i="9"/>
  <c r="CZ17" i="9" s="1"/>
  <c r="CV16" i="9"/>
  <c r="CV17" i="9" s="1"/>
  <c r="CR16" i="9"/>
  <c r="CR17" i="9" s="1"/>
  <c r="CN16" i="9"/>
  <c r="CN17" i="9" s="1"/>
  <c r="CJ16" i="9"/>
  <c r="CJ17" i="9" s="1"/>
  <c r="CF16" i="9"/>
  <c r="CF17" i="9" s="1"/>
  <c r="CB16" i="9"/>
  <c r="CB17" i="9" s="1"/>
  <c r="BX16" i="9"/>
  <c r="BX17" i="9" s="1"/>
  <c r="BT16" i="9"/>
  <c r="BT17" i="9" s="1"/>
  <c r="BP16" i="9"/>
  <c r="BP17" i="9" s="1"/>
  <c r="BL16" i="9"/>
  <c r="BL17" i="9" s="1"/>
  <c r="BH16" i="9"/>
  <c r="BH17" i="9" s="1"/>
  <c r="BD16" i="9"/>
  <c r="BD17" i="9" s="1"/>
  <c r="AZ16" i="9"/>
  <c r="AZ17" i="9" s="1"/>
  <c r="AV16" i="9"/>
  <c r="AV17" i="9" s="1"/>
  <c r="AR16" i="9"/>
  <c r="AR17" i="9" s="1"/>
  <c r="AN16" i="9"/>
  <c r="AN17" i="9" s="1"/>
  <c r="AJ16" i="9"/>
  <c r="AJ17" i="9" s="1"/>
  <c r="AF16" i="9"/>
  <c r="AF17" i="9" s="1"/>
  <c r="AB16" i="9"/>
  <c r="AB17" i="9" s="1"/>
  <c r="X16" i="9"/>
  <c r="X17" i="9" s="1"/>
  <c r="T16" i="9"/>
  <c r="T17" i="9" s="1"/>
  <c r="P16" i="9"/>
  <c r="P17" i="9" s="1"/>
  <c r="L16" i="9"/>
  <c r="L17" i="9" s="1"/>
  <c r="H16" i="9"/>
  <c r="H17" i="9" s="1"/>
  <c r="D16" i="9"/>
  <c r="D17" i="9" s="1"/>
  <c r="C13" i="9"/>
  <c r="IY9" i="9"/>
  <c r="IX9" i="9"/>
  <c r="IW9" i="9"/>
  <c r="IV9" i="9"/>
  <c r="IV10" i="9" s="1"/>
  <c r="IY11" i="9" s="1"/>
  <c r="IU9" i="9"/>
  <c r="IT9" i="9"/>
  <c r="IS9" i="9"/>
  <c r="IR9" i="9"/>
  <c r="IR10" i="9" s="1"/>
  <c r="IQ9" i="9"/>
  <c r="IP9" i="9"/>
  <c r="IO9" i="9"/>
  <c r="IN9" i="9"/>
  <c r="IN10" i="9" s="1"/>
  <c r="IQ11" i="9" s="1"/>
  <c r="IM9" i="9"/>
  <c r="IL9" i="9"/>
  <c r="IK9" i="9"/>
  <c r="IJ9" i="9"/>
  <c r="IJ10" i="9" s="1"/>
  <c r="II9" i="9"/>
  <c r="IH9" i="9"/>
  <c r="IG9" i="9"/>
  <c r="IF9" i="9"/>
  <c r="IF10" i="9" s="1"/>
  <c r="II11" i="9" s="1"/>
  <c r="IE9" i="9"/>
  <c r="ID9" i="9"/>
  <c r="IC9" i="9"/>
  <c r="IB9" i="9"/>
  <c r="IB10" i="9" s="1"/>
  <c r="IE11" i="9" s="1"/>
  <c r="IA9" i="9"/>
  <c r="HZ9" i="9"/>
  <c r="HY9" i="9"/>
  <c r="HX9" i="9"/>
  <c r="HX10" i="9" s="1"/>
  <c r="HW9" i="9"/>
  <c r="HV9" i="9"/>
  <c r="HU9" i="9"/>
  <c r="HT9" i="9"/>
  <c r="HT10" i="9" s="1"/>
  <c r="HS9" i="9"/>
  <c r="HR9" i="9"/>
  <c r="HQ9" i="9"/>
  <c r="HP9" i="9"/>
  <c r="HP10" i="9" s="1"/>
  <c r="HS11" i="9" s="1"/>
  <c r="HO9" i="9"/>
  <c r="HN9" i="9"/>
  <c r="HM9" i="9"/>
  <c r="HL9" i="9"/>
  <c r="HL10" i="9" s="1"/>
  <c r="HK9" i="9"/>
  <c r="HJ9" i="9"/>
  <c r="HI9" i="9"/>
  <c r="HH9" i="9"/>
  <c r="HH10" i="9" s="1"/>
  <c r="HK11" i="9" s="1"/>
  <c r="HG9" i="9"/>
  <c r="HF9" i="9"/>
  <c r="HE9" i="9"/>
  <c r="HD9" i="9"/>
  <c r="HD10" i="9" s="1"/>
  <c r="HC9" i="9"/>
  <c r="HB9" i="9"/>
  <c r="HA9" i="9"/>
  <c r="GZ9" i="9"/>
  <c r="GZ10" i="9" s="1"/>
  <c r="HC11" i="9" s="1"/>
  <c r="GY9" i="9"/>
  <c r="GX9" i="9"/>
  <c r="GW9" i="9"/>
  <c r="GV9" i="9"/>
  <c r="GV10" i="9" s="1"/>
  <c r="GY11" i="9" s="1"/>
  <c r="GU9" i="9"/>
  <c r="GT9" i="9"/>
  <c r="GS9" i="9"/>
  <c r="GR9" i="9"/>
  <c r="GR10" i="9" s="1"/>
  <c r="GQ9" i="9"/>
  <c r="GP9" i="9"/>
  <c r="GO9" i="9"/>
  <c r="GN9" i="9"/>
  <c r="GN10" i="9" s="1"/>
  <c r="GM9" i="9"/>
  <c r="GL9" i="9"/>
  <c r="GK9" i="9"/>
  <c r="GJ9" i="9"/>
  <c r="GJ10" i="9" s="1"/>
  <c r="GM11" i="9" s="1"/>
  <c r="GI9" i="9"/>
  <c r="GH9" i="9"/>
  <c r="GG9" i="9"/>
  <c r="GF9" i="9"/>
  <c r="GF10" i="9" s="1"/>
  <c r="GE9" i="9"/>
  <c r="GD9" i="9"/>
  <c r="GC9" i="9"/>
  <c r="GB9" i="9"/>
  <c r="GB10" i="9" s="1"/>
  <c r="GA9" i="9"/>
  <c r="FZ9" i="9"/>
  <c r="FY9" i="9"/>
  <c r="FX9" i="9"/>
  <c r="FX10" i="9" s="1"/>
  <c r="FW9" i="9"/>
  <c r="FV9" i="9"/>
  <c r="FU9" i="9"/>
  <c r="FT9" i="9"/>
  <c r="FT10" i="9" s="1"/>
  <c r="FS9" i="9"/>
  <c r="FR9" i="9"/>
  <c r="FQ9" i="9"/>
  <c r="FP9" i="9"/>
  <c r="FP10" i="9" s="1"/>
  <c r="FR11" i="9" s="1"/>
  <c r="FO9" i="9"/>
  <c r="FN9" i="9"/>
  <c r="FM9" i="9"/>
  <c r="FL9" i="9"/>
  <c r="FL10" i="9" s="1"/>
  <c r="FK9" i="9"/>
  <c r="FJ9" i="9"/>
  <c r="FI9" i="9"/>
  <c r="FH9" i="9"/>
  <c r="FH10" i="9" s="1"/>
  <c r="FG9" i="9"/>
  <c r="FF9" i="9"/>
  <c r="FE9" i="9"/>
  <c r="FD9" i="9"/>
  <c r="FD10" i="9" s="1"/>
  <c r="FC9" i="9"/>
  <c r="FB9" i="9"/>
  <c r="FA9" i="9"/>
  <c r="EZ9" i="9"/>
  <c r="EZ10" i="9" s="1"/>
  <c r="EY9" i="9"/>
  <c r="EX9" i="9"/>
  <c r="EW9" i="9"/>
  <c r="EV9" i="9"/>
  <c r="EV10" i="9" s="1"/>
  <c r="EU9" i="9"/>
  <c r="ET9" i="9"/>
  <c r="ES9" i="9"/>
  <c r="ER9" i="9"/>
  <c r="ER10" i="9" s="1"/>
  <c r="EQ9" i="9"/>
  <c r="EP9" i="9"/>
  <c r="EO9" i="9"/>
  <c r="EN9" i="9"/>
  <c r="EN10" i="9" s="1"/>
  <c r="EM9" i="9"/>
  <c r="EL9" i="9"/>
  <c r="EK9" i="9"/>
  <c r="EJ9" i="9"/>
  <c r="EJ10" i="9" s="1"/>
  <c r="EL11" i="9" s="1"/>
  <c r="EI9" i="9"/>
  <c r="EH9" i="9"/>
  <c r="EG9" i="9"/>
  <c r="EF9" i="9"/>
  <c r="EF10" i="9" s="1"/>
  <c r="EE9" i="9"/>
  <c r="ED9" i="9"/>
  <c r="EC9" i="9"/>
  <c r="EB9" i="9"/>
  <c r="EB10" i="9" s="1"/>
  <c r="EA9" i="9"/>
  <c r="DZ9" i="9"/>
  <c r="DY9" i="9"/>
  <c r="DX9" i="9"/>
  <c r="DX10" i="9" s="1"/>
  <c r="DW9" i="9"/>
  <c r="DV9" i="9"/>
  <c r="DU9" i="9"/>
  <c r="DT9" i="9"/>
  <c r="DT10" i="9" s="1"/>
  <c r="DS9" i="9"/>
  <c r="DR9" i="9"/>
  <c r="DQ9" i="9"/>
  <c r="DP9" i="9"/>
  <c r="DP10" i="9" s="1"/>
  <c r="DO9" i="9"/>
  <c r="DN9" i="9"/>
  <c r="DM9" i="9"/>
  <c r="DL9" i="9"/>
  <c r="DL10" i="9" s="1"/>
  <c r="DK9" i="9"/>
  <c r="DJ9" i="9"/>
  <c r="DI9" i="9"/>
  <c r="DH9" i="9"/>
  <c r="DH10" i="9" s="1"/>
  <c r="DG9" i="9"/>
  <c r="DF9" i="9"/>
  <c r="DE9" i="9"/>
  <c r="DD9" i="9"/>
  <c r="DD10" i="9" s="1"/>
  <c r="DF11" i="9" s="1"/>
  <c r="DC9" i="9"/>
  <c r="DB9" i="9"/>
  <c r="DA9" i="9"/>
  <c r="CZ9" i="9"/>
  <c r="CZ10" i="9" s="1"/>
  <c r="CY9" i="9"/>
  <c r="CX9" i="9"/>
  <c r="CW9" i="9"/>
  <c r="CV9" i="9"/>
  <c r="CV10" i="9" s="1"/>
  <c r="CU9" i="9"/>
  <c r="CT9" i="9"/>
  <c r="CS9" i="9"/>
  <c r="CR9" i="9"/>
  <c r="CR10" i="9" s="1"/>
  <c r="CQ9" i="9"/>
  <c r="CP9" i="9"/>
  <c r="CO9" i="9"/>
  <c r="CN9" i="9"/>
  <c r="CN10" i="9" s="1"/>
  <c r="CM9" i="9"/>
  <c r="CL9" i="9"/>
  <c r="CK9" i="9"/>
  <c r="CJ9" i="9"/>
  <c r="CJ10" i="9" s="1"/>
  <c r="CI9" i="9"/>
  <c r="CH9" i="9"/>
  <c r="CG9" i="9"/>
  <c r="CF9" i="9"/>
  <c r="CF10" i="9" s="1"/>
  <c r="CE9" i="9"/>
  <c r="CD9" i="9"/>
  <c r="CC9" i="9"/>
  <c r="CB9" i="9"/>
  <c r="CB10" i="9" s="1"/>
  <c r="CA9" i="9"/>
  <c r="BZ9" i="9"/>
  <c r="BY9" i="9"/>
  <c r="BX9" i="9"/>
  <c r="BX10" i="9" s="1"/>
  <c r="CA11" i="9" s="1"/>
  <c r="BW9" i="9"/>
  <c r="BV9" i="9"/>
  <c r="BU9" i="9"/>
  <c r="BT9" i="9"/>
  <c r="BT10" i="9" s="1"/>
  <c r="BS9" i="9"/>
  <c r="BR9" i="9"/>
  <c r="BQ9" i="9"/>
  <c r="BP9" i="9"/>
  <c r="BP10" i="9" s="1"/>
  <c r="BO9" i="9"/>
  <c r="BN9" i="9"/>
  <c r="BM9" i="9"/>
  <c r="BL9" i="9"/>
  <c r="BL10" i="9" s="1"/>
  <c r="BK9" i="9"/>
  <c r="BJ9" i="9"/>
  <c r="BI9" i="9"/>
  <c r="BH9" i="9"/>
  <c r="BH10" i="9" s="1"/>
  <c r="BG9" i="9"/>
  <c r="BF9" i="9"/>
  <c r="BE9" i="9"/>
  <c r="BD9" i="9"/>
  <c r="BD10" i="9" s="1"/>
  <c r="BC9" i="9"/>
  <c r="BB9" i="9"/>
  <c r="BA9" i="9"/>
  <c r="AZ9" i="9"/>
  <c r="AZ10" i="9" s="1"/>
  <c r="AY9" i="9"/>
  <c r="AX9" i="9"/>
  <c r="AW9" i="9"/>
  <c r="AV9" i="9"/>
  <c r="AV10" i="9" s="1"/>
  <c r="AU9" i="9"/>
  <c r="AT9" i="9"/>
  <c r="AS9" i="9"/>
  <c r="AR9" i="9"/>
  <c r="AR10" i="9" s="1"/>
  <c r="AT11" i="9" s="1"/>
  <c r="AQ9" i="9"/>
  <c r="AP9" i="9"/>
  <c r="AO9" i="9"/>
  <c r="AN9" i="9"/>
  <c r="AN10" i="9" s="1"/>
  <c r="AM9" i="9"/>
  <c r="AL9" i="9"/>
  <c r="AK9" i="9"/>
  <c r="AJ9" i="9"/>
  <c r="AJ10" i="9" s="1"/>
  <c r="AI9" i="9"/>
  <c r="AH9" i="9"/>
  <c r="AG9" i="9"/>
  <c r="AF9" i="9"/>
  <c r="AF10" i="9" s="1"/>
  <c r="AB9" i="9"/>
  <c r="AB10" i="9" s="1"/>
  <c r="X9" i="9"/>
  <c r="X10" i="9" s="1"/>
  <c r="T9" i="9"/>
  <c r="T10" i="9" s="1"/>
  <c r="P9" i="9"/>
  <c r="P10" i="9" s="1"/>
  <c r="L9" i="9"/>
  <c r="L10" i="9" s="1"/>
  <c r="N11" i="9" s="1"/>
  <c r="H9" i="9"/>
  <c r="H10" i="9" s="1"/>
  <c r="D9" i="9"/>
  <c r="D10" i="9" s="1"/>
  <c r="C6" i="9"/>
  <c r="Y15" i="8"/>
  <c r="X15" i="8"/>
  <c r="W15" i="8"/>
  <c r="V15" i="8"/>
  <c r="T15" i="8"/>
  <c r="U13" i="8"/>
  <c r="U15" i="8" s="1"/>
  <c r="T13" i="8"/>
  <c r="S13" i="8"/>
  <c r="S15" i="8" s="1"/>
  <c r="R13" i="8"/>
  <c r="R15" i="8" s="1"/>
  <c r="Q13" i="8"/>
  <c r="P13" i="8"/>
  <c r="O13" i="8"/>
  <c r="N13" i="8"/>
  <c r="BP9" i="8"/>
  <c r="BH9" i="8"/>
  <c r="AR9" i="8"/>
  <c r="AJ9" i="8"/>
  <c r="AB9" i="8"/>
  <c r="L9" i="8"/>
  <c r="D9" i="8"/>
  <c r="D11" i="8" s="1"/>
  <c r="BR8" i="8"/>
  <c r="BU9" i="8" s="1"/>
  <c r="BN8" i="8"/>
  <c r="BO9" i="8" s="1"/>
  <c r="BJ8" i="8"/>
  <c r="BM9" i="8" s="1"/>
  <c r="BF8" i="8"/>
  <c r="BG9" i="8" s="1"/>
  <c r="BB8" i="8"/>
  <c r="BE9" i="8" s="1"/>
  <c r="AX8" i="8"/>
  <c r="AY9" i="8" s="1"/>
  <c r="AT8" i="8"/>
  <c r="AW9" i="8" s="1"/>
  <c r="AP8" i="8"/>
  <c r="AQ9" i="8" s="1"/>
  <c r="AL8" i="8"/>
  <c r="AO9" i="8" s="1"/>
  <c r="AH8" i="8"/>
  <c r="AI9" i="8" s="1"/>
  <c r="AD8" i="8"/>
  <c r="AG9" i="8" s="1"/>
  <c r="Z8" i="8"/>
  <c r="AA9" i="8" s="1"/>
  <c r="V8" i="8"/>
  <c r="Y9" i="8" s="1"/>
  <c r="R8" i="8"/>
  <c r="S9" i="8" s="1"/>
  <c r="N8" i="8"/>
  <c r="Q9" i="8" s="1"/>
  <c r="J8" i="8"/>
  <c r="K9" i="8" s="1"/>
  <c r="F8" i="8"/>
  <c r="I9" i="8" s="1"/>
  <c r="I11" i="8" s="1"/>
  <c r="B8" i="8"/>
  <c r="C9" i="8" s="1"/>
  <c r="C11" i="8" s="1"/>
  <c r="AN4" i="8"/>
  <c r="AK4" i="8"/>
  <c r="AJ4" i="8"/>
  <c r="T4" i="8"/>
  <c r="Q4" i="8"/>
  <c r="P4" i="8"/>
  <c r="I4" i="8"/>
  <c r="AK3" i="8"/>
  <c r="AM4" i="8" s="1"/>
  <c r="AG3" i="8"/>
  <c r="AI4" i="8" s="1"/>
  <c r="AA3" i="8"/>
  <c r="AD4" i="8" s="1"/>
  <c r="W3" i="8"/>
  <c r="Z4" i="8" s="1"/>
  <c r="Q3" i="8"/>
  <c r="S4" i="8" s="1"/>
  <c r="M3" i="8"/>
  <c r="O4" i="8" s="1"/>
  <c r="CC83" i="7"/>
  <c r="CC85" i="7" s="1"/>
  <c r="CB81" i="7"/>
  <c r="CB83" i="7" s="1"/>
  <c r="CB85" i="7" s="1"/>
  <c r="CA81" i="7"/>
  <c r="CA83" i="7" s="1"/>
  <c r="CA85" i="7" s="1"/>
  <c r="BZ79" i="7"/>
  <c r="BZ81" i="7" s="1"/>
  <c r="BZ83" i="7" s="1"/>
  <c r="BZ85" i="7" s="1"/>
  <c r="BY79" i="7"/>
  <c r="BY81" i="7" s="1"/>
  <c r="BY83" i="7" s="1"/>
  <c r="BY85" i="7" s="1"/>
  <c r="BX79" i="7"/>
  <c r="BX81" i="7" s="1"/>
  <c r="BX83" i="7" s="1"/>
  <c r="BX85" i="7" s="1"/>
  <c r="BU79" i="7"/>
  <c r="BU81" i="7" s="1"/>
  <c r="BW77" i="7"/>
  <c r="BW79" i="7" s="1"/>
  <c r="BW81" i="7" s="1"/>
  <c r="BW83" i="7" s="1"/>
  <c r="BW85" i="7" s="1"/>
  <c r="BV77" i="7"/>
  <c r="BV79" i="7" s="1"/>
  <c r="BV81" i="7" s="1"/>
  <c r="BV83" i="7" s="1"/>
  <c r="BV85" i="7" s="1"/>
  <c r="BU77" i="7"/>
  <c r="BT77" i="7"/>
  <c r="BT79" i="7" s="1"/>
  <c r="BS75" i="7"/>
  <c r="BS77" i="7" s="1"/>
  <c r="BS79" i="7" s="1"/>
  <c r="BR73" i="7"/>
  <c r="BR75" i="7" s="1"/>
  <c r="BR77" i="7" s="1"/>
  <c r="BQ71" i="7"/>
  <c r="BQ73" i="7" s="1"/>
  <c r="BQ75" i="7" s="1"/>
  <c r="BQ77" i="7" s="1"/>
  <c r="BP71" i="7"/>
  <c r="BP73" i="7" s="1"/>
  <c r="BP75" i="7" s="1"/>
  <c r="BP77" i="7" s="1"/>
  <c r="BO71" i="7"/>
  <c r="BO73" i="7" s="1"/>
  <c r="BO75" i="7" s="1"/>
  <c r="BN71" i="7"/>
  <c r="BN73" i="7" s="1"/>
  <c r="BN75" i="7" s="1"/>
  <c r="BL71" i="7"/>
  <c r="BL73" i="7" s="1"/>
  <c r="BL75" i="7" s="1"/>
  <c r="BM69" i="7"/>
  <c r="BM71" i="7" s="1"/>
  <c r="BM73" i="7" s="1"/>
  <c r="BM75" i="7" s="1"/>
  <c r="BL69" i="7"/>
  <c r="BK69" i="7"/>
  <c r="BK71" i="7" s="1"/>
  <c r="BK73" i="7" s="1"/>
  <c r="BJ69" i="7"/>
  <c r="BJ71" i="7" s="1"/>
  <c r="BI69" i="7"/>
  <c r="BH69" i="7"/>
  <c r="BG69" i="7"/>
  <c r="BF69" i="7"/>
  <c r="BE67" i="7"/>
  <c r="BD67" i="7"/>
  <c r="BC65" i="7"/>
  <c r="BC67" i="7" s="1"/>
  <c r="BB63" i="7"/>
  <c r="BB65" i="7" s="1"/>
  <c r="BB67" i="7" s="1"/>
  <c r="BA63" i="7"/>
  <c r="BA65" i="7" s="1"/>
  <c r="BA67" i="7" s="1"/>
  <c r="AZ63" i="7"/>
  <c r="AZ65" i="7" s="1"/>
  <c r="AZ67" i="7" s="1"/>
  <c r="AY63" i="7"/>
  <c r="AY65" i="7" s="1"/>
  <c r="AY67" i="7" s="1"/>
  <c r="AX61" i="7"/>
  <c r="AX63" i="7" s="1"/>
  <c r="AX65" i="7" s="1"/>
  <c r="AX67" i="7" s="1"/>
  <c r="AW59" i="7"/>
  <c r="AW61" i="7" s="1"/>
  <c r="AW63" i="7" s="1"/>
  <c r="AW65" i="7" s="1"/>
  <c r="AV57" i="7"/>
  <c r="AV59" i="7" s="1"/>
  <c r="AV61" i="7" s="1"/>
  <c r="AV63" i="7" s="1"/>
  <c r="AV65" i="7" s="1"/>
  <c r="AU55" i="7"/>
  <c r="AU57" i="7" s="1"/>
  <c r="AU59" i="7" s="1"/>
  <c r="AU61" i="7" s="1"/>
  <c r="AU63" i="7" s="1"/>
  <c r="AT55" i="7"/>
  <c r="AT57" i="7" s="1"/>
  <c r="AT59" i="7" s="1"/>
  <c r="AT61" i="7" s="1"/>
  <c r="AP55" i="7"/>
  <c r="AP57" i="7" s="1"/>
  <c r="AP59" i="7" s="1"/>
  <c r="AS53" i="7"/>
  <c r="AS55" i="7" s="1"/>
  <c r="AS57" i="7" s="1"/>
  <c r="AS59" i="7" s="1"/>
  <c r="AS61" i="7" s="1"/>
  <c r="AR53" i="7"/>
  <c r="AR55" i="7" s="1"/>
  <c r="AR57" i="7" s="1"/>
  <c r="AR59" i="7" s="1"/>
  <c r="AR61" i="7" s="1"/>
  <c r="AQ53" i="7"/>
  <c r="AQ55" i="7" s="1"/>
  <c r="AQ57" i="7" s="1"/>
  <c r="AQ59" i="7" s="1"/>
  <c r="AQ61" i="7" s="1"/>
  <c r="AP53" i="7"/>
  <c r="AO53" i="7"/>
  <c r="AO55" i="7" s="1"/>
  <c r="AO57" i="7" s="1"/>
  <c r="AN53" i="7"/>
  <c r="AN55" i="7" s="1"/>
  <c r="AN51" i="7"/>
  <c r="AM49" i="7"/>
  <c r="AM51" i="7" s="1"/>
  <c r="AM53" i="7" s="1"/>
  <c r="AL47" i="7"/>
  <c r="AL49" i="7" s="1"/>
  <c r="AL51" i="7" s="1"/>
  <c r="AL53" i="7" s="1"/>
  <c r="AK45" i="7"/>
  <c r="AK47" i="7" s="1"/>
  <c r="AK49" i="7" s="1"/>
  <c r="AK51" i="7" s="1"/>
  <c r="AJ43" i="7"/>
  <c r="AJ45" i="7" s="1"/>
  <c r="AJ47" i="7" s="1"/>
  <c r="AJ49" i="7" s="1"/>
  <c r="AJ51" i="7" s="1"/>
  <c r="AI41" i="7"/>
  <c r="AI43" i="7" s="1"/>
  <c r="AI45" i="7" s="1"/>
  <c r="AI47" i="7" s="1"/>
  <c r="AI49" i="7" s="1"/>
  <c r="AI51" i="7" s="1"/>
  <c r="AH39" i="7"/>
  <c r="AH41" i="7" s="1"/>
  <c r="AH43" i="7" s="1"/>
  <c r="AH45" i="7" s="1"/>
  <c r="AH47" i="7" s="1"/>
  <c r="AH49" i="7" s="1"/>
  <c r="AH51" i="7" s="1"/>
  <c r="AG37" i="7"/>
  <c r="AG39" i="7" s="1"/>
  <c r="AG41" i="7" s="1"/>
  <c r="AG43" i="7" s="1"/>
  <c r="AG45" i="7" s="1"/>
  <c r="AG47" i="7" s="1"/>
  <c r="AG49" i="7" s="1"/>
  <c r="AG51" i="7" s="1"/>
  <c r="AF37" i="7"/>
  <c r="AF39" i="7" s="1"/>
  <c r="AF41" i="7" s="1"/>
  <c r="AF43" i="7" s="1"/>
  <c r="AF45" i="7" s="1"/>
  <c r="AF47" i="7" s="1"/>
  <c r="AF49" i="7" s="1"/>
  <c r="AE37" i="7"/>
  <c r="AE39" i="7" s="1"/>
  <c r="AE41" i="7" s="1"/>
  <c r="AE43" i="7" s="1"/>
  <c r="AE45" i="7" s="1"/>
  <c r="AE47" i="7" s="1"/>
  <c r="AB37" i="7"/>
  <c r="AB39" i="7" s="1"/>
  <c r="AB41" i="7" s="1"/>
  <c r="AD35" i="7"/>
  <c r="AD37" i="7" s="1"/>
  <c r="AD39" i="7" s="1"/>
  <c r="AD41" i="7" s="1"/>
  <c r="AD43" i="7" s="1"/>
  <c r="AD45" i="7" s="1"/>
  <c r="AC35" i="7"/>
  <c r="AC37" i="7" s="1"/>
  <c r="AC39" i="7" s="1"/>
  <c r="AC41" i="7" s="1"/>
  <c r="AC43" i="7" s="1"/>
  <c r="AB35" i="7"/>
  <c r="AA35" i="7"/>
  <c r="AA37" i="7" s="1"/>
  <c r="AA39" i="7" s="1"/>
  <c r="Z35" i="7"/>
  <c r="Z37" i="7" s="1"/>
  <c r="Y35" i="7"/>
  <c r="Y33" i="7"/>
  <c r="X33" i="7"/>
  <c r="X35" i="7" s="1"/>
  <c r="W31" i="7"/>
  <c r="W33" i="7" s="1"/>
  <c r="W35" i="7" s="1"/>
  <c r="V31" i="7"/>
  <c r="V33" i="7" s="1"/>
  <c r="U29" i="7"/>
  <c r="U31" i="7" s="1"/>
  <c r="U33" i="7" s="1"/>
  <c r="T29" i="7"/>
  <c r="T31" i="7" s="1"/>
  <c r="T33" i="7" s="1"/>
  <c r="S27" i="7"/>
  <c r="S29" i="7" s="1"/>
  <c r="S31" i="7" s="1"/>
  <c r="S33" i="7" s="1"/>
  <c r="R27" i="7"/>
  <c r="R29" i="7" s="1"/>
  <c r="R31" i="7" s="1"/>
  <c r="R33" i="7" s="1"/>
  <c r="Q25" i="7"/>
  <c r="Q27" i="7" s="1"/>
  <c r="Q29" i="7" s="1"/>
  <c r="Q31" i="7" s="1"/>
  <c r="P23" i="7"/>
  <c r="P25" i="7" s="1"/>
  <c r="P27" i="7" s="1"/>
  <c r="P29" i="7" s="1"/>
  <c r="P31" i="7" s="1"/>
  <c r="O21" i="7"/>
  <c r="O23" i="7" s="1"/>
  <c r="O25" i="7" s="1"/>
  <c r="O27" i="7" s="1"/>
  <c r="O29" i="7" s="1"/>
  <c r="N21" i="7"/>
  <c r="N23" i="7" s="1"/>
  <c r="N25" i="7" s="1"/>
  <c r="N27" i="7" s="1"/>
  <c r="N29" i="7" s="1"/>
  <c r="M19" i="7"/>
  <c r="M21" i="7" s="1"/>
  <c r="M23" i="7" s="1"/>
  <c r="M25" i="7" s="1"/>
  <c r="M27" i="7" s="1"/>
  <c r="L17" i="7"/>
  <c r="L19" i="7" s="1"/>
  <c r="L21" i="7" s="1"/>
  <c r="L23" i="7" s="1"/>
  <c r="L25" i="7" s="1"/>
  <c r="L27" i="7" s="1"/>
  <c r="K15" i="7"/>
  <c r="K17" i="7" s="1"/>
  <c r="K19" i="7" s="1"/>
  <c r="K21" i="7" s="1"/>
  <c r="K23" i="7" s="1"/>
  <c r="K25" i="7" s="1"/>
  <c r="J13" i="7"/>
  <c r="J15" i="7" s="1"/>
  <c r="J17" i="7" s="1"/>
  <c r="J19" i="7" s="1"/>
  <c r="J21" i="7" s="1"/>
  <c r="J23" i="7" s="1"/>
  <c r="J25" i="7" s="1"/>
  <c r="BP9" i="7"/>
  <c r="BH9" i="7"/>
  <c r="AR9" i="7"/>
  <c r="AJ9" i="7"/>
  <c r="AB9" i="7"/>
  <c r="L9" i="7"/>
  <c r="D9" i="7"/>
  <c r="D11" i="7" s="1"/>
  <c r="D13" i="7" s="1"/>
  <c r="D15" i="7" s="1"/>
  <c r="BR8" i="7"/>
  <c r="BU9" i="7" s="1"/>
  <c r="BN8" i="7"/>
  <c r="BO9" i="7" s="1"/>
  <c r="BJ8" i="7"/>
  <c r="BM9" i="7" s="1"/>
  <c r="BF8" i="7"/>
  <c r="BG9" i="7" s="1"/>
  <c r="BB8" i="7"/>
  <c r="BE9" i="7" s="1"/>
  <c r="AX8" i="7"/>
  <c r="AY9" i="7" s="1"/>
  <c r="AT8" i="7"/>
  <c r="AW9" i="7" s="1"/>
  <c r="AP8" i="7"/>
  <c r="AQ9" i="7" s="1"/>
  <c r="AL8" i="7"/>
  <c r="AO9" i="7" s="1"/>
  <c r="AH8" i="7"/>
  <c r="AI9" i="7" s="1"/>
  <c r="AD8" i="7"/>
  <c r="AG9" i="7" s="1"/>
  <c r="Z8" i="7"/>
  <c r="AA9" i="7" s="1"/>
  <c r="V8" i="7"/>
  <c r="Y9" i="7" s="1"/>
  <c r="R8" i="7"/>
  <c r="S9" i="7" s="1"/>
  <c r="N8" i="7"/>
  <c r="Q9" i="7" s="1"/>
  <c r="J8" i="7"/>
  <c r="K9" i="7" s="1"/>
  <c r="F8" i="7"/>
  <c r="I9" i="7" s="1"/>
  <c r="I11" i="7" s="1"/>
  <c r="I13" i="7" s="1"/>
  <c r="I15" i="7" s="1"/>
  <c r="I17" i="7" s="1"/>
  <c r="I19" i="7" s="1"/>
  <c r="I21" i="7" s="1"/>
  <c r="I23" i="7" s="1"/>
  <c r="B8" i="7"/>
  <c r="C9" i="7" s="1"/>
  <c r="C11" i="7" s="1"/>
  <c r="C13" i="7" s="1"/>
  <c r="AK4" i="7"/>
  <c r="Q4" i="7"/>
  <c r="I4" i="7"/>
  <c r="AK3" i="7"/>
  <c r="AN4" i="7" s="1"/>
  <c r="AG3" i="7"/>
  <c r="AJ4" i="7" s="1"/>
  <c r="AA3" i="7"/>
  <c r="AA4" i="7" s="1"/>
  <c r="W3" i="7"/>
  <c r="Z4" i="7" s="1"/>
  <c r="Q3" i="7"/>
  <c r="T4" i="7" s="1"/>
  <c r="M3" i="7"/>
  <c r="P4" i="7" s="1"/>
  <c r="AE18" i="9" l="1"/>
  <c r="AD18" i="9"/>
  <c r="AC18" i="9"/>
  <c r="AB18" i="9"/>
  <c r="BK18" i="9"/>
  <c r="BJ18" i="9"/>
  <c r="BI18" i="9"/>
  <c r="BH18" i="9"/>
  <c r="CQ18" i="9"/>
  <c r="CP18" i="9"/>
  <c r="CO18" i="9"/>
  <c r="CN18" i="9"/>
  <c r="AI18" i="9"/>
  <c r="AH18" i="9"/>
  <c r="AG18" i="9"/>
  <c r="AF18" i="9"/>
  <c r="BO18" i="9"/>
  <c r="BN18" i="9"/>
  <c r="BM18" i="9"/>
  <c r="BL18" i="9"/>
  <c r="CU18" i="9"/>
  <c r="CT18" i="9"/>
  <c r="CS18" i="9"/>
  <c r="CR18" i="9"/>
  <c r="K11" i="9"/>
  <c r="J11" i="9"/>
  <c r="I11" i="9"/>
  <c r="H11" i="9"/>
  <c r="S11" i="9"/>
  <c r="R11" i="9"/>
  <c r="Q11" i="9"/>
  <c r="P11" i="9"/>
  <c r="CQ11" i="9"/>
  <c r="CO11" i="9"/>
  <c r="CP11" i="9"/>
  <c r="CP20" i="9" s="1"/>
  <c r="CN11" i="9"/>
  <c r="CN20" i="9" s="1"/>
  <c r="DV11" i="9"/>
  <c r="DW11" i="9"/>
  <c r="DU11" i="9"/>
  <c r="DT11" i="9"/>
  <c r="DT20" i="9" s="1"/>
  <c r="FJ11" i="9"/>
  <c r="FK11" i="9"/>
  <c r="FI11" i="9"/>
  <c r="FH11" i="9"/>
  <c r="HF11" i="9"/>
  <c r="HG11" i="9"/>
  <c r="HE11" i="9"/>
  <c r="HD11" i="9"/>
  <c r="HD20" i="9" s="1"/>
  <c r="IT11" i="9"/>
  <c r="IU11" i="9"/>
  <c r="IS11" i="9"/>
  <c r="IR11" i="9"/>
  <c r="IR20" i="9" s="1"/>
  <c r="AM18" i="9"/>
  <c r="AL18" i="9"/>
  <c r="AK18" i="9"/>
  <c r="AJ18" i="9"/>
  <c r="BS18" i="9"/>
  <c r="BR18" i="9"/>
  <c r="BQ18" i="9"/>
  <c r="BP18" i="9"/>
  <c r="CY18" i="9"/>
  <c r="CX18" i="9"/>
  <c r="CW18" i="9"/>
  <c r="CV18" i="9"/>
  <c r="EE18" i="9"/>
  <c r="ED18" i="9"/>
  <c r="EC18" i="9"/>
  <c r="EB18" i="9"/>
  <c r="FK18" i="9"/>
  <c r="FJ18" i="9"/>
  <c r="FI18" i="9"/>
  <c r="FH18" i="9"/>
  <c r="HW18" i="9"/>
  <c r="HV18" i="9"/>
  <c r="HU18" i="9"/>
  <c r="HT18" i="9"/>
  <c r="BB11" i="9"/>
  <c r="BC11" i="9"/>
  <c r="BA11" i="9"/>
  <c r="AZ11" i="9"/>
  <c r="DO11" i="9"/>
  <c r="DN11" i="9"/>
  <c r="DM11" i="9"/>
  <c r="DL11" i="9"/>
  <c r="DL20" i="9" s="1"/>
  <c r="FC11" i="9"/>
  <c r="FB11" i="9"/>
  <c r="FA11" i="9"/>
  <c r="EZ11" i="9"/>
  <c r="EZ20" i="9" s="1"/>
  <c r="GP11" i="9"/>
  <c r="GQ11" i="9"/>
  <c r="GO11" i="9"/>
  <c r="GN11" i="9"/>
  <c r="GN20" i="9" s="1"/>
  <c r="IM11" i="9"/>
  <c r="IL11" i="9"/>
  <c r="IK11" i="9"/>
  <c r="IJ11" i="9"/>
  <c r="IJ20" i="9" s="1"/>
  <c r="K18" i="9"/>
  <c r="J18" i="9"/>
  <c r="I18" i="9"/>
  <c r="H18" i="9"/>
  <c r="AQ18" i="9"/>
  <c r="AP18" i="9"/>
  <c r="AO18" i="9"/>
  <c r="AN18" i="9"/>
  <c r="BW18" i="9"/>
  <c r="BV18" i="9"/>
  <c r="BU18" i="9"/>
  <c r="BT18" i="9"/>
  <c r="DC18" i="9"/>
  <c r="DB18" i="9"/>
  <c r="DA18" i="9"/>
  <c r="CZ18" i="9"/>
  <c r="EI18" i="9"/>
  <c r="EH18" i="9"/>
  <c r="EG18" i="9"/>
  <c r="EF18" i="9"/>
  <c r="FO18" i="9"/>
  <c r="FN18" i="9"/>
  <c r="FM18" i="9"/>
  <c r="FL18" i="9"/>
  <c r="GU18" i="9"/>
  <c r="GT18" i="9"/>
  <c r="GS18" i="9"/>
  <c r="GR18" i="9"/>
  <c r="IA18" i="9"/>
  <c r="HZ18" i="9"/>
  <c r="HY18" i="9"/>
  <c r="HX18" i="9"/>
  <c r="CH11" i="9"/>
  <c r="CI11" i="9"/>
  <c r="CG11" i="9"/>
  <c r="CF11" i="9"/>
  <c r="ED11" i="9"/>
  <c r="EE11" i="9"/>
  <c r="EC11" i="9"/>
  <c r="EC20" i="9" s="1"/>
  <c r="EB11" i="9"/>
  <c r="GI11" i="9"/>
  <c r="GH11" i="9"/>
  <c r="GG11" i="9"/>
  <c r="GF11" i="9"/>
  <c r="GF20" i="9" s="1"/>
  <c r="HV11" i="9"/>
  <c r="HW11" i="9"/>
  <c r="HU11" i="9"/>
  <c r="HT11" i="9"/>
  <c r="V11" i="9"/>
  <c r="W11" i="9"/>
  <c r="U11" i="9"/>
  <c r="T11" i="9"/>
  <c r="AA11" i="9"/>
  <c r="Z11" i="9"/>
  <c r="Y11" i="9"/>
  <c r="X11" i="9"/>
  <c r="O18" i="9"/>
  <c r="N18" i="9"/>
  <c r="N20" i="9" s="1"/>
  <c r="M18" i="9"/>
  <c r="L18" i="9"/>
  <c r="AU18" i="9"/>
  <c r="AT18" i="9"/>
  <c r="AT20" i="9" s="1"/>
  <c r="AS18" i="9"/>
  <c r="AR18" i="9"/>
  <c r="CA18" i="9"/>
  <c r="CA20" i="9" s="1"/>
  <c r="BZ18" i="9"/>
  <c r="BY18" i="9"/>
  <c r="BX18" i="9"/>
  <c r="AL11" i="9"/>
  <c r="AM11" i="9"/>
  <c r="AK11" i="9"/>
  <c r="AJ11" i="9"/>
  <c r="CX11" i="9"/>
  <c r="CY11" i="9"/>
  <c r="CW11" i="9"/>
  <c r="CV11" i="9"/>
  <c r="EU11" i="9"/>
  <c r="ES11" i="9"/>
  <c r="ER11" i="9"/>
  <c r="ER20" i="9" s="1"/>
  <c r="ET11" i="9"/>
  <c r="FZ11" i="9"/>
  <c r="GA11" i="9"/>
  <c r="FY11" i="9"/>
  <c r="FX11" i="9"/>
  <c r="FX20" i="9" s="1"/>
  <c r="HN11" i="9"/>
  <c r="HO11" i="9"/>
  <c r="HM11" i="9"/>
  <c r="HL11" i="9"/>
  <c r="HL20" i="9" s="1"/>
  <c r="G18" i="9"/>
  <c r="F18" i="9"/>
  <c r="E18" i="9"/>
  <c r="D18" i="9"/>
  <c r="AE11" i="9"/>
  <c r="AD11" i="9"/>
  <c r="AD20" i="9" s="1"/>
  <c r="AC11" i="9"/>
  <c r="AC20" i="9" s="1"/>
  <c r="AB11" i="9"/>
  <c r="S18" i="9"/>
  <c r="R18" i="9"/>
  <c r="Q18" i="9"/>
  <c r="P18" i="9"/>
  <c r="AY18" i="9"/>
  <c r="AX18" i="9"/>
  <c r="AW18" i="9"/>
  <c r="AV18" i="9"/>
  <c r="CE18" i="9"/>
  <c r="CD18" i="9"/>
  <c r="CC18" i="9"/>
  <c r="CB18" i="9"/>
  <c r="DK18" i="9"/>
  <c r="DJ18" i="9"/>
  <c r="DI18" i="9"/>
  <c r="DH18" i="9"/>
  <c r="EQ18" i="9"/>
  <c r="EP18" i="9"/>
  <c r="EO18" i="9"/>
  <c r="EN18" i="9"/>
  <c r="FW18" i="9"/>
  <c r="FV18" i="9"/>
  <c r="FU18" i="9"/>
  <c r="FT18" i="9"/>
  <c r="HC18" i="9"/>
  <c r="HC20" i="9" s="1"/>
  <c r="HB18" i="9"/>
  <c r="HA18" i="9"/>
  <c r="GZ18" i="9"/>
  <c r="II18" i="9"/>
  <c r="II20" i="9" s="1"/>
  <c r="IH18" i="9"/>
  <c r="IG18" i="9"/>
  <c r="IF18" i="9"/>
  <c r="BR11" i="9"/>
  <c r="BR20" i="9" s="1"/>
  <c r="BS11" i="9"/>
  <c r="BQ11" i="9"/>
  <c r="BQ20" i="9" s="1"/>
  <c r="BP11" i="9"/>
  <c r="AQ11" i="9"/>
  <c r="AQ20" i="9" s="1"/>
  <c r="AP11" i="9"/>
  <c r="AP20" i="9" s="1"/>
  <c r="AO11" i="9"/>
  <c r="AN11" i="9"/>
  <c r="BG11" i="9"/>
  <c r="BF11" i="9"/>
  <c r="BE11" i="9"/>
  <c r="BD11" i="9"/>
  <c r="BW11" i="9"/>
  <c r="BV11" i="9"/>
  <c r="BU11" i="9"/>
  <c r="BT11" i="9"/>
  <c r="CM11" i="9"/>
  <c r="CL11" i="9"/>
  <c r="CK11" i="9"/>
  <c r="CJ11" i="9"/>
  <c r="CU11" i="9"/>
  <c r="CU20" i="9" s="1"/>
  <c r="CT11" i="9"/>
  <c r="CT20" i="9" s="1"/>
  <c r="CS11" i="9"/>
  <c r="CR11" i="9"/>
  <c r="DK11" i="9"/>
  <c r="DJ11" i="9"/>
  <c r="DI11" i="9"/>
  <c r="DH11" i="9"/>
  <c r="EA11" i="9"/>
  <c r="DZ11" i="9"/>
  <c r="DY11" i="9"/>
  <c r="DX11" i="9"/>
  <c r="EQ11" i="9"/>
  <c r="EQ20" i="9" s="1"/>
  <c r="EP11" i="9"/>
  <c r="EP20" i="9" s="1"/>
  <c r="EO11" i="9"/>
  <c r="EO20" i="9" s="1"/>
  <c r="EN11" i="9"/>
  <c r="EN20" i="9" s="1"/>
  <c r="FG11" i="9"/>
  <c r="FF11" i="9"/>
  <c r="FE11" i="9"/>
  <c r="FD11" i="9"/>
  <c r="FW11" i="9"/>
  <c r="FV11" i="9"/>
  <c r="FU11" i="9"/>
  <c r="FT11" i="9"/>
  <c r="GE11" i="9"/>
  <c r="GD11" i="9"/>
  <c r="GC11" i="9"/>
  <c r="GB11" i="9"/>
  <c r="GU11" i="9"/>
  <c r="GU20" i="9" s="1"/>
  <c r="GT11" i="9"/>
  <c r="GS11" i="9"/>
  <c r="GR11" i="9"/>
  <c r="IA11" i="9"/>
  <c r="IA20" i="9" s="1"/>
  <c r="HZ11" i="9"/>
  <c r="HZ20" i="9" s="1"/>
  <c r="HY11" i="9"/>
  <c r="HX11" i="9"/>
  <c r="W18" i="9"/>
  <c r="V18" i="9"/>
  <c r="U18" i="9"/>
  <c r="T18" i="9"/>
  <c r="BC18" i="9"/>
  <c r="BB18" i="9"/>
  <c r="BA18" i="9"/>
  <c r="AZ18" i="9"/>
  <c r="CI18" i="9"/>
  <c r="CH18" i="9"/>
  <c r="CG18" i="9"/>
  <c r="CF18" i="9"/>
  <c r="BK11" i="9"/>
  <c r="BK20" i="9" s="1"/>
  <c r="BI11" i="9"/>
  <c r="BH11" i="9"/>
  <c r="BJ11" i="9"/>
  <c r="AI11" i="9"/>
  <c r="AH11" i="9"/>
  <c r="AG11" i="9"/>
  <c r="AF11" i="9"/>
  <c r="AY11" i="9"/>
  <c r="AX11" i="9"/>
  <c r="AX20" i="9" s="1"/>
  <c r="AW11" i="9"/>
  <c r="AW20" i="9" s="1"/>
  <c r="AV11" i="9"/>
  <c r="AV20" i="9" s="1"/>
  <c r="BO11" i="9"/>
  <c r="BO20" i="9" s="1"/>
  <c r="BN11" i="9"/>
  <c r="BN20" i="9" s="1"/>
  <c r="BM11" i="9"/>
  <c r="BM20" i="9" s="1"/>
  <c r="BL11" i="9"/>
  <c r="CE11" i="9"/>
  <c r="CD11" i="9"/>
  <c r="CD20" i="9" s="1"/>
  <c r="CC11" i="9"/>
  <c r="CC20" i="9" s="1"/>
  <c r="CB11" i="9"/>
  <c r="DC11" i="9"/>
  <c r="DC20" i="9" s="1"/>
  <c r="DB11" i="9"/>
  <c r="DA11" i="9"/>
  <c r="CZ11" i="9"/>
  <c r="DS11" i="9"/>
  <c r="DR11" i="9"/>
  <c r="DQ11" i="9"/>
  <c r="DP11" i="9"/>
  <c r="EI11" i="9"/>
  <c r="EI20" i="9" s="1"/>
  <c r="EH11" i="9"/>
  <c r="EH20" i="9" s="1"/>
  <c r="EG11" i="9"/>
  <c r="EG20" i="9" s="1"/>
  <c r="EF11" i="9"/>
  <c r="EY11" i="9"/>
  <c r="EX11" i="9"/>
  <c r="EW11" i="9"/>
  <c r="EV11" i="9"/>
  <c r="FO11" i="9"/>
  <c r="FO20" i="9" s="1"/>
  <c r="FN11" i="9"/>
  <c r="FM11" i="9"/>
  <c r="FL11" i="9"/>
  <c r="F11" i="9"/>
  <c r="F20" i="9" s="1"/>
  <c r="G11" i="9"/>
  <c r="E11" i="9"/>
  <c r="E20" i="9" s="1"/>
  <c r="D11" i="9"/>
  <c r="AA18" i="9"/>
  <c r="Z18" i="9"/>
  <c r="Y18" i="9"/>
  <c r="X18" i="9"/>
  <c r="BG18" i="9"/>
  <c r="BF18" i="9"/>
  <c r="BE18" i="9"/>
  <c r="BD18" i="9"/>
  <c r="CM18" i="9"/>
  <c r="CL18" i="9"/>
  <c r="CK18" i="9"/>
  <c r="CJ18" i="9"/>
  <c r="L11" i="9"/>
  <c r="AR11" i="9"/>
  <c r="BX11" i="9"/>
  <c r="DD11" i="9"/>
  <c r="DD20" i="9" s="1"/>
  <c r="EJ11" i="9"/>
  <c r="EJ20" i="9" s="1"/>
  <c r="FP11" i="9"/>
  <c r="FP20" i="9" s="1"/>
  <c r="GV11" i="9"/>
  <c r="GV20" i="9" s="1"/>
  <c r="IB11" i="9"/>
  <c r="IB20" i="9" s="1"/>
  <c r="EA18" i="9"/>
  <c r="DZ18" i="9"/>
  <c r="DY18" i="9"/>
  <c r="DX18" i="9"/>
  <c r="FG18" i="9"/>
  <c r="FF18" i="9"/>
  <c r="FE18" i="9"/>
  <c r="FD18" i="9"/>
  <c r="GM18" i="9"/>
  <c r="GM20" i="9" s="1"/>
  <c r="GL18" i="9"/>
  <c r="GK18" i="9"/>
  <c r="GJ18" i="9"/>
  <c r="HS18" i="9"/>
  <c r="HS20" i="9" s="1"/>
  <c r="HR18" i="9"/>
  <c r="HQ18" i="9"/>
  <c r="HP18" i="9"/>
  <c r="IY18" i="9"/>
  <c r="IY20" i="9" s="1"/>
  <c r="IX18" i="9"/>
  <c r="IW18" i="9"/>
  <c r="IV18" i="9"/>
  <c r="GQ18" i="9"/>
  <c r="GP18" i="9"/>
  <c r="M11" i="9"/>
  <c r="M20" i="9" s="1"/>
  <c r="AS11" i="9"/>
  <c r="BY11" i="9"/>
  <c r="DE11" i="9"/>
  <c r="EK11" i="9"/>
  <c r="FQ11" i="9"/>
  <c r="GW11" i="9"/>
  <c r="IC11" i="9"/>
  <c r="GO18" i="9"/>
  <c r="BZ11" i="9"/>
  <c r="BZ20" i="9" s="1"/>
  <c r="GX11" i="9"/>
  <c r="ID11" i="9"/>
  <c r="O11" i="9"/>
  <c r="AU11" i="9"/>
  <c r="DG11" i="9"/>
  <c r="EM11" i="9"/>
  <c r="FS11" i="9"/>
  <c r="DG18" i="9"/>
  <c r="DF18" i="9"/>
  <c r="DF20" i="9" s="1"/>
  <c r="EM18" i="9"/>
  <c r="EL18" i="9"/>
  <c r="EL20" i="9" s="1"/>
  <c r="FS18" i="9"/>
  <c r="FR18" i="9"/>
  <c r="FR20" i="9" s="1"/>
  <c r="GY18" i="9"/>
  <c r="GY20" i="9" s="1"/>
  <c r="GX18" i="9"/>
  <c r="IE18" i="9"/>
  <c r="IE20" i="9" s="1"/>
  <c r="ID18" i="9"/>
  <c r="DE18" i="9"/>
  <c r="EK18" i="9"/>
  <c r="FQ18" i="9"/>
  <c r="GW18" i="9"/>
  <c r="IC18" i="9"/>
  <c r="GJ11" i="9"/>
  <c r="GZ11" i="9"/>
  <c r="HH11" i="9"/>
  <c r="HP11" i="9"/>
  <c r="IF11" i="9"/>
  <c r="IN11" i="9"/>
  <c r="IV11" i="9"/>
  <c r="GK11" i="9"/>
  <c r="HA11" i="9"/>
  <c r="HA20" i="9" s="1"/>
  <c r="HI11" i="9"/>
  <c r="HQ11" i="9"/>
  <c r="IG11" i="9"/>
  <c r="IO11" i="9"/>
  <c r="IW11" i="9"/>
  <c r="IW20" i="9" s="1"/>
  <c r="DO18" i="9"/>
  <c r="DN18" i="9"/>
  <c r="EU18" i="9"/>
  <c r="ET18" i="9"/>
  <c r="GA18" i="9"/>
  <c r="FZ18" i="9"/>
  <c r="HG18" i="9"/>
  <c r="HF18" i="9"/>
  <c r="IM18" i="9"/>
  <c r="IL18" i="9"/>
  <c r="DM18" i="9"/>
  <c r="ES18" i="9"/>
  <c r="FY18" i="9"/>
  <c r="HE18" i="9"/>
  <c r="IK18" i="9"/>
  <c r="GL11" i="9"/>
  <c r="HB11" i="9"/>
  <c r="HB20" i="9" s="1"/>
  <c r="HJ11" i="9"/>
  <c r="HR11" i="9"/>
  <c r="IH11" i="9"/>
  <c r="IP11" i="9"/>
  <c r="IX11" i="9"/>
  <c r="IX20" i="9" s="1"/>
  <c r="DS18" i="9"/>
  <c r="DR18" i="9"/>
  <c r="DQ18" i="9"/>
  <c r="DP18" i="9"/>
  <c r="EY18" i="9"/>
  <c r="EX18" i="9"/>
  <c r="EW18" i="9"/>
  <c r="EV18" i="9"/>
  <c r="GE18" i="9"/>
  <c r="GD18" i="9"/>
  <c r="GC18" i="9"/>
  <c r="GB18" i="9"/>
  <c r="HK18" i="9"/>
  <c r="HK20" i="9" s="1"/>
  <c r="HJ18" i="9"/>
  <c r="HI18" i="9"/>
  <c r="HH18" i="9"/>
  <c r="IQ18" i="9"/>
  <c r="IQ20" i="9" s="1"/>
  <c r="IP18" i="9"/>
  <c r="IO18" i="9"/>
  <c r="IN18" i="9"/>
  <c r="DW18" i="9"/>
  <c r="DV18" i="9"/>
  <c r="FC18" i="9"/>
  <c r="FB18" i="9"/>
  <c r="GI18" i="9"/>
  <c r="GH18" i="9"/>
  <c r="HO18" i="9"/>
  <c r="HN18" i="9"/>
  <c r="IU18" i="9"/>
  <c r="IT18" i="9"/>
  <c r="DU18" i="9"/>
  <c r="FA18" i="9"/>
  <c r="GG18" i="9"/>
  <c r="HM18" i="9"/>
  <c r="IS18" i="9"/>
  <c r="Q16" i="8"/>
  <c r="P16" i="8" s="1"/>
  <c r="R4" i="8"/>
  <c r="AB4" i="8"/>
  <c r="AL4" i="8"/>
  <c r="E9" i="8"/>
  <c r="E11" i="8" s="1"/>
  <c r="M9" i="8"/>
  <c r="U9" i="8"/>
  <c r="AC9" i="8"/>
  <c r="AK9" i="8"/>
  <c r="AS9" i="8"/>
  <c r="BA9" i="8"/>
  <c r="BI9" i="8"/>
  <c r="BQ9" i="8"/>
  <c r="AA4" i="8"/>
  <c r="AC4" i="8"/>
  <c r="F9" i="8"/>
  <c r="F11" i="8" s="1"/>
  <c r="N9" i="8"/>
  <c r="V9" i="8"/>
  <c r="AD9" i="8"/>
  <c r="AL9" i="8"/>
  <c r="AT9" i="8"/>
  <c r="BB9" i="8"/>
  <c r="BJ9" i="8"/>
  <c r="BR9" i="8"/>
  <c r="AZ9" i="8"/>
  <c r="G9" i="8"/>
  <c r="G11" i="8" s="1"/>
  <c r="O9" i="8"/>
  <c r="W9" i="8"/>
  <c r="AE9" i="8"/>
  <c r="AM9" i="8"/>
  <c r="AU9" i="8"/>
  <c r="BC9" i="8"/>
  <c r="BK9" i="8"/>
  <c r="BS9" i="8"/>
  <c r="T9" i="8"/>
  <c r="M4" i="8"/>
  <c r="W4" i="8"/>
  <c r="AG4" i="8"/>
  <c r="H9" i="8"/>
  <c r="H11" i="8" s="1"/>
  <c r="P9" i="8"/>
  <c r="X9" i="8"/>
  <c r="AF9" i="8"/>
  <c r="AN9" i="8"/>
  <c r="AV9" i="8"/>
  <c r="BD9" i="8"/>
  <c r="BL9" i="8"/>
  <c r="BT9" i="8"/>
  <c r="N4" i="8"/>
  <c r="X4" i="8"/>
  <c r="AH4" i="8"/>
  <c r="Y4" i="8"/>
  <c r="B9" i="8"/>
  <c r="B11" i="8" s="1"/>
  <c r="J9" i="8"/>
  <c r="R9" i="8"/>
  <c r="Z9" i="8"/>
  <c r="AH9" i="8"/>
  <c r="AP9" i="8"/>
  <c r="AX9" i="8"/>
  <c r="BF9" i="8"/>
  <c r="BN9" i="8"/>
  <c r="BU86" i="7"/>
  <c r="BT86" i="7" s="1"/>
  <c r="T9" i="7"/>
  <c r="R4" i="7"/>
  <c r="AB4" i="7"/>
  <c r="AL4" i="7"/>
  <c r="E9" i="7"/>
  <c r="E11" i="7" s="1"/>
  <c r="E13" i="7" s="1"/>
  <c r="E15" i="7" s="1"/>
  <c r="E17" i="7" s="1"/>
  <c r="M9" i="7"/>
  <c r="U9" i="7"/>
  <c r="AC9" i="7"/>
  <c r="AK9" i="7"/>
  <c r="AS9" i="7"/>
  <c r="BA9" i="7"/>
  <c r="BI9" i="7"/>
  <c r="BQ9" i="7"/>
  <c r="S4" i="7"/>
  <c r="AC4" i="7"/>
  <c r="AM4" i="7"/>
  <c r="F9" i="7"/>
  <c r="F11" i="7" s="1"/>
  <c r="F13" i="7" s="1"/>
  <c r="F15" i="7" s="1"/>
  <c r="F17" i="7" s="1"/>
  <c r="F19" i="7" s="1"/>
  <c r="N9" i="7"/>
  <c r="V9" i="7"/>
  <c r="AD9" i="7"/>
  <c r="AL9" i="7"/>
  <c r="AT9" i="7"/>
  <c r="BB9" i="7"/>
  <c r="BJ9" i="7"/>
  <c r="BR9" i="7"/>
  <c r="AD4" i="7"/>
  <c r="G9" i="7"/>
  <c r="G11" i="7" s="1"/>
  <c r="G13" i="7" s="1"/>
  <c r="G15" i="7" s="1"/>
  <c r="G17" i="7" s="1"/>
  <c r="G19" i="7" s="1"/>
  <c r="O9" i="7"/>
  <c r="W9" i="7"/>
  <c r="AE9" i="7"/>
  <c r="AM9" i="7"/>
  <c r="AU9" i="7"/>
  <c r="BC9" i="7"/>
  <c r="BK9" i="7"/>
  <c r="BS9" i="7"/>
  <c r="M4" i="7"/>
  <c r="W4" i="7"/>
  <c r="AG4" i="7"/>
  <c r="H9" i="7"/>
  <c r="H11" i="7" s="1"/>
  <c r="H13" i="7" s="1"/>
  <c r="H15" i="7" s="1"/>
  <c r="H17" i="7" s="1"/>
  <c r="H19" i="7" s="1"/>
  <c r="H21" i="7" s="1"/>
  <c r="P9" i="7"/>
  <c r="X9" i="7"/>
  <c r="AF9" i="7"/>
  <c r="AN9" i="7"/>
  <c r="AV9" i="7"/>
  <c r="BD9" i="7"/>
  <c r="BL9" i="7"/>
  <c r="BT9" i="7"/>
  <c r="N4" i="7"/>
  <c r="X4" i="7"/>
  <c r="AH4" i="7"/>
  <c r="AZ9" i="7"/>
  <c r="O4" i="7"/>
  <c r="Y4" i="7"/>
  <c r="AI4" i="7"/>
  <c r="B9" i="7"/>
  <c r="B11" i="7" s="1"/>
  <c r="J9" i="7"/>
  <c r="R9" i="7"/>
  <c r="Z9" i="7"/>
  <c r="AH9" i="7"/>
  <c r="AP9" i="7"/>
  <c r="AX9" i="7"/>
  <c r="BF9" i="7"/>
  <c r="BN9" i="7"/>
  <c r="GL20" i="9" l="1"/>
  <c r="O20" i="9"/>
  <c r="D20" i="9"/>
  <c r="CE20" i="9"/>
  <c r="BW20" i="9"/>
  <c r="AE20" i="9"/>
  <c r="CQ20" i="9"/>
  <c r="BX20" i="9"/>
  <c r="BX21" i="9" s="1"/>
  <c r="BX22" i="9" s="1"/>
  <c r="HU20" i="9"/>
  <c r="HQ20" i="9"/>
  <c r="GX20" i="9"/>
  <c r="BY20" i="9"/>
  <c r="CO20" i="9"/>
  <c r="CN21" i="9" s="1"/>
  <c r="CN22" i="9" s="1"/>
  <c r="L20" i="9"/>
  <c r="L21" i="9" s="1"/>
  <c r="L22" i="9" s="1"/>
  <c r="AL20" i="9"/>
  <c r="FN20" i="9"/>
  <c r="DB20" i="9"/>
  <c r="AH20" i="9"/>
  <c r="CX20" i="9"/>
  <c r="G20" i="9"/>
  <c r="D21" i="9" s="1"/>
  <c r="D22" i="9" s="1"/>
  <c r="HW20" i="9"/>
  <c r="EE20" i="9"/>
  <c r="BS20" i="9"/>
  <c r="IG20" i="9"/>
  <c r="AR20" i="9"/>
  <c r="BI20" i="9"/>
  <c r="GE20" i="9"/>
  <c r="IF20" i="9"/>
  <c r="FT20" i="9"/>
  <c r="DH20" i="9"/>
  <c r="FU20" i="9"/>
  <c r="DI20" i="9"/>
  <c r="CK20" i="9"/>
  <c r="IV20" i="9"/>
  <c r="IV21" i="9" s="1"/>
  <c r="IV22" i="9" s="1"/>
  <c r="HR20" i="9"/>
  <c r="FL20" i="9"/>
  <c r="EF20" i="9"/>
  <c r="EF21" i="9" s="1"/>
  <c r="EF22" i="9" s="1"/>
  <c r="CZ20" i="9"/>
  <c r="BL20" i="9"/>
  <c r="BL21" i="9" s="1"/>
  <c r="BL22" i="9" s="1"/>
  <c r="AF20" i="9"/>
  <c r="GR20" i="9"/>
  <c r="EN21" i="9"/>
  <c r="EN22" i="9" s="1"/>
  <c r="CJ20" i="9"/>
  <c r="BP20" i="9"/>
  <c r="CV20" i="9"/>
  <c r="IH20" i="9"/>
  <c r="FM20" i="9"/>
  <c r="DA20" i="9"/>
  <c r="AG20" i="9"/>
  <c r="CW20" i="9"/>
  <c r="FC20" i="9"/>
  <c r="BB20" i="9"/>
  <c r="HF20" i="9"/>
  <c r="DV20" i="9"/>
  <c r="S20" i="9"/>
  <c r="FH20" i="9"/>
  <c r="H20" i="9"/>
  <c r="FV20" i="9"/>
  <c r="IN20" i="9"/>
  <c r="AU20" i="9"/>
  <c r="W20" i="9"/>
  <c r="GG20" i="9"/>
  <c r="FI20" i="9"/>
  <c r="HX20" i="9"/>
  <c r="CR20" i="9"/>
  <c r="BT20" i="9"/>
  <c r="AN20" i="9"/>
  <c r="AB20" i="9"/>
  <c r="AJ20" i="9"/>
  <c r="EA20" i="9"/>
  <c r="DG20" i="9"/>
  <c r="DJ20" i="9"/>
  <c r="HP20" i="9"/>
  <c r="ID20" i="9"/>
  <c r="BH20" i="9"/>
  <c r="HY20" i="9"/>
  <c r="CS20" i="9"/>
  <c r="AO20" i="9"/>
  <c r="HM20" i="9"/>
  <c r="AK20" i="9"/>
  <c r="X20" i="9"/>
  <c r="FJ20" i="9"/>
  <c r="BD20" i="9"/>
  <c r="HO20" i="9"/>
  <c r="ES20" i="9"/>
  <c r="AM20" i="9"/>
  <c r="V20" i="9"/>
  <c r="GH20" i="9"/>
  <c r="CI20" i="9"/>
  <c r="EK20" i="9"/>
  <c r="AI20" i="9"/>
  <c r="GS20" i="9"/>
  <c r="BE20" i="9"/>
  <c r="HN20" i="9"/>
  <c r="EU20" i="9"/>
  <c r="Y20" i="9"/>
  <c r="GI20" i="9"/>
  <c r="CH20" i="9"/>
  <c r="GO20" i="9"/>
  <c r="DM20" i="9"/>
  <c r="IS20" i="9"/>
  <c r="I20" i="9"/>
  <c r="CG20" i="9"/>
  <c r="IM20" i="9"/>
  <c r="FQ20" i="9"/>
  <c r="IO20" i="9"/>
  <c r="DE20" i="9"/>
  <c r="EV20" i="9"/>
  <c r="DP20" i="9"/>
  <c r="CB20" i="9"/>
  <c r="CB21" i="9" s="1"/>
  <c r="CB22" i="9" s="1"/>
  <c r="BJ20" i="9"/>
  <c r="GT20" i="9"/>
  <c r="CL20" i="9"/>
  <c r="BF20" i="9"/>
  <c r="Z20" i="9"/>
  <c r="HT20" i="9"/>
  <c r="EB20" i="9"/>
  <c r="GQ20" i="9"/>
  <c r="DN20" i="9"/>
  <c r="IU20" i="9"/>
  <c r="FK20" i="9"/>
  <c r="J20" i="9"/>
  <c r="GW20" i="9"/>
  <c r="GV21" i="9" s="1"/>
  <c r="GV22" i="9" s="1"/>
  <c r="FG20" i="9"/>
  <c r="IP20" i="9"/>
  <c r="HH20" i="9"/>
  <c r="EW20" i="9"/>
  <c r="DQ20" i="9"/>
  <c r="FW20" i="9"/>
  <c r="DK20" i="9"/>
  <c r="CM20" i="9"/>
  <c r="BG20" i="9"/>
  <c r="FY20" i="9"/>
  <c r="AA20" i="9"/>
  <c r="GP20" i="9"/>
  <c r="DO20" i="9"/>
  <c r="IT20" i="9"/>
  <c r="K20" i="9"/>
  <c r="HI20" i="9"/>
  <c r="GZ20" i="9"/>
  <c r="GZ21" i="9" s="1"/>
  <c r="GZ22" i="9" s="1"/>
  <c r="AS20" i="9"/>
  <c r="EX20" i="9"/>
  <c r="DR20" i="9"/>
  <c r="GB20" i="9"/>
  <c r="FD20" i="9"/>
  <c r="DX20" i="9"/>
  <c r="GA20" i="9"/>
  <c r="CY20" i="9"/>
  <c r="AZ20" i="9"/>
  <c r="P20" i="9"/>
  <c r="GJ20" i="9"/>
  <c r="FS20" i="9"/>
  <c r="EY20" i="9"/>
  <c r="DS20" i="9"/>
  <c r="AY20" i="9"/>
  <c r="AV21" i="9" s="1"/>
  <c r="AV22" i="9" s="1"/>
  <c r="GC20" i="9"/>
  <c r="FE20" i="9"/>
  <c r="DY20" i="9"/>
  <c r="BU20" i="9"/>
  <c r="FZ20" i="9"/>
  <c r="T20" i="9"/>
  <c r="HV20" i="9"/>
  <c r="ED20" i="9"/>
  <c r="IK20" i="9"/>
  <c r="FA20" i="9"/>
  <c r="BA20" i="9"/>
  <c r="HE20" i="9"/>
  <c r="DU20" i="9"/>
  <c r="Q20" i="9"/>
  <c r="HJ20" i="9"/>
  <c r="GK20" i="9"/>
  <c r="EM20" i="9"/>
  <c r="IC20" i="9"/>
  <c r="GD20" i="9"/>
  <c r="FF20" i="9"/>
  <c r="DZ20" i="9"/>
  <c r="BV20" i="9"/>
  <c r="ET20" i="9"/>
  <c r="U20" i="9"/>
  <c r="CF20" i="9"/>
  <c r="IL20" i="9"/>
  <c r="FB20" i="9"/>
  <c r="BC20" i="9"/>
  <c r="HG20" i="9"/>
  <c r="DW20" i="9"/>
  <c r="R20" i="9"/>
  <c r="J86" i="5" a="1"/>
  <c r="J86" i="5" s="1"/>
  <c r="E54" i="5"/>
  <c r="E53" i="5"/>
  <c r="E52" i="5"/>
  <c r="E51" i="5"/>
  <c r="E45" i="5"/>
  <c r="E44" i="5"/>
  <c r="E43" i="5"/>
  <c r="CZ21" i="9" l="1"/>
  <c r="CZ22" i="9" s="1"/>
  <c r="DD21" i="9"/>
  <c r="DD22" i="9" s="1"/>
  <c r="AB21" i="9"/>
  <c r="AB22" i="9" s="1"/>
  <c r="AR21" i="9"/>
  <c r="AR22" i="9" s="1"/>
  <c r="FL21" i="9"/>
  <c r="FL22" i="9" s="1"/>
  <c r="AN21" i="9"/>
  <c r="AN22" i="9" s="1"/>
  <c r="IF21" i="9"/>
  <c r="IF22" i="9" s="1"/>
  <c r="IN21" i="9"/>
  <c r="IN22" i="9" s="1"/>
  <c r="HP21" i="9"/>
  <c r="HP22" i="9" s="1"/>
  <c r="IB21" i="9"/>
  <c r="IB22" i="9" s="1"/>
  <c r="EJ21" i="9"/>
  <c r="EJ22" i="9" s="1"/>
  <c r="DT21" i="9"/>
  <c r="DT22" i="9" s="1"/>
  <c r="HL21" i="9"/>
  <c r="HL22" i="9" s="1"/>
  <c r="DH21" i="9"/>
  <c r="DH22" i="9" s="1"/>
  <c r="CJ21" i="9"/>
  <c r="CJ22" i="9" s="1"/>
  <c r="BH21" i="9"/>
  <c r="BH22" i="9" s="1"/>
  <c r="BP21" i="9"/>
  <c r="BP22" i="9" s="1"/>
  <c r="HD21" i="9"/>
  <c r="HD22" i="9" s="1"/>
  <c r="AJ21" i="9"/>
  <c r="AJ22" i="9" s="1"/>
  <c r="FP21" i="9"/>
  <c r="FP22" i="9" s="1"/>
  <c r="FX21" i="9"/>
  <c r="FX22" i="9" s="1"/>
  <c r="CR21" i="9"/>
  <c r="CR22" i="9" s="1"/>
  <c r="FH21" i="9"/>
  <c r="FH22" i="9" s="1"/>
  <c r="GF21" i="9"/>
  <c r="GF22" i="9" s="1"/>
  <c r="HX21" i="9"/>
  <c r="HX22" i="9" s="1"/>
  <c r="H21" i="9"/>
  <c r="H22" i="9" s="1"/>
  <c r="AF21" i="9"/>
  <c r="AF22" i="9" s="1"/>
  <c r="EZ21" i="9"/>
  <c r="EZ22" i="9" s="1"/>
  <c r="T21" i="9"/>
  <c r="T22" i="9" s="1"/>
  <c r="HT21" i="9"/>
  <c r="HT22" i="9" s="1"/>
  <c r="IR21" i="9"/>
  <c r="IR22" i="9" s="1"/>
  <c r="BT21" i="9"/>
  <c r="BT22" i="9" s="1"/>
  <c r="DX21" i="9"/>
  <c r="DX22" i="9" s="1"/>
  <c r="GR21" i="9"/>
  <c r="GR22" i="9" s="1"/>
  <c r="DL21" i="9"/>
  <c r="DL22" i="9" s="1"/>
  <c r="GN21" i="9"/>
  <c r="GN22" i="9" s="1"/>
  <c r="IJ21" i="9"/>
  <c r="IJ22" i="9" s="1"/>
  <c r="X21" i="9"/>
  <c r="X22" i="9" s="1"/>
  <c r="CF21" i="9"/>
  <c r="CF22" i="9" s="1"/>
  <c r="AZ21" i="9"/>
  <c r="AZ22" i="9" s="1"/>
  <c r="CV21" i="9"/>
  <c r="CV22" i="9" s="1"/>
  <c r="FT21" i="9"/>
  <c r="FT22" i="9" s="1"/>
  <c r="ER21" i="9"/>
  <c r="ER22" i="9" s="1"/>
  <c r="FD21" i="9"/>
  <c r="FD22" i="9" s="1"/>
  <c r="GB21" i="9"/>
  <c r="GB22" i="9" s="1"/>
  <c r="HH21" i="9"/>
  <c r="HH22" i="9" s="1"/>
  <c r="EV21" i="9"/>
  <c r="EV22" i="9" s="1"/>
  <c r="GJ21" i="9"/>
  <c r="GJ22" i="9" s="1"/>
  <c r="EB21" i="9"/>
  <c r="EB22" i="9" s="1"/>
  <c r="BD21" i="9"/>
  <c r="BD22" i="9" s="1"/>
  <c r="P21" i="9"/>
  <c r="P22" i="9" s="1"/>
  <c r="DP21" i="9"/>
  <c r="DP22" i="9" s="1"/>
  <c r="E56" i="5"/>
  <c r="F56" i="5" s="1"/>
  <c r="E47" i="5"/>
  <c r="F47"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<sst xmlns="http://schemas.openxmlformats.org/spreadsheetml/2006/main" count="710" uniqueCount="267">
  <si>
    <t>http://www.sunshine2k.de/coding/javascript/crc/crc_js.html</t>
    <phoneticPr fontId="2"/>
  </si>
  <si>
    <t>ushort Initial_Value = 0xFFFF;</t>
  </si>
  <si>
    <t>ushort Final_XOR_Value = 0x0000;</t>
    <phoneticPr fontId="2"/>
  </si>
  <si>
    <t>Initial_Value = 0x00;</t>
    <phoneticPr fontId="2"/>
  </si>
  <si>
    <t>Final_XOR_Value = 0x00;</t>
    <phoneticPr fontId="2"/>
  </si>
  <si>
    <r>
      <t>CRC8</t>
    </r>
    <r>
      <rPr>
        <sz val="16"/>
        <color rgb="FF0000FF"/>
        <rFont val="ＭＳ Ｐゴシック"/>
        <family val="2"/>
        <charset val="128"/>
      </rPr>
      <t>計算のためのコード実装例　（</t>
    </r>
    <r>
      <rPr>
        <sz val="16"/>
        <color rgb="FF0000FF"/>
        <rFont val="Tahoma"/>
        <family val="2"/>
      </rPr>
      <t>C#</t>
    </r>
    <r>
      <rPr>
        <sz val="16"/>
        <color rgb="FF0000FF"/>
        <rFont val="ＭＳ Ｐゴシック"/>
        <family val="2"/>
        <charset val="128"/>
      </rPr>
      <t>）</t>
    </r>
    <phoneticPr fontId="2"/>
  </si>
  <si>
    <r>
      <rPr>
        <b/>
        <u/>
        <sz val="11"/>
        <color theme="1"/>
        <rFont val="ＭＳ Ｐゴシック"/>
        <family val="3"/>
        <charset val="128"/>
      </rPr>
      <t>入力するデータを変更する方法；</t>
    </r>
    <rPh sb="0" eb="2">
      <t>ニュウリョク</t>
    </rPh>
    <rPh sb="8" eb="10">
      <t>ヘンコウ</t>
    </rPh>
    <rPh sb="12" eb="14">
      <t>ホウホウ</t>
    </rPh>
    <phoneticPr fontId="2"/>
  </si>
  <si>
    <r>
      <rPr>
        <sz val="11"/>
        <color theme="1"/>
        <rFont val="ＭＳ Ｐゴシック"/>
        <family val="2"/>
        <charset val="128"/>
      </rPr>
      <t>　を実行した時に表示される</t>
    </r>
    <r>
      <rPr>
        <sz val="11"/>
        <color theme="1"/>
        <rFont val="Tahoma"/>
        <family val="2"/>
      </rPr>
      <t>Look up table</t>
    </r>
    <r>
      <rPr>
        <sz val="11"/>
        <color theme="1"/>
        <rFont val="ＭＳ Ｐゴシック"/>
        <family val="2"/>
        <charset val="128"/>
      </rPr>
      <t>をコードにコピーして変更する。</t>
    </r>
    <rPh sb="2" eb="4">
      <t>ジッコウ</t>
    </rPh>
    <rPh sb="6" eb="7">
      <t>トキ</t>
    </rPh>
    <rPh sb="8" eb="10">
      <t>ヒョウジ</t>
    </rPh>
    <rPh sb="36" eb="38">
      <t>ヘンコウ</t>
    </rPh>
    <phoneticPr fontId="2"/>
  </si>
  <si>
    <r>
      <rPr>
        <sz val="11"/>
        <color theme="1"/>
        <rFont val="ＭＳ Ｐゴシック"/>
        <family val="2"/>
        <charset val="128"/>
      </rPr>
      <t>・</t>
    </r>
    <r>
      <rPr>
        <sz val="11"/>
        <color theme="1"/>
        <rFont val="Tahoma"/>
        <family val="2"/>
      </rPr>
      <t xml:space="preserve"> Initial Value</t>
    </r>
    <r>
      <rPr>
        <sz val="11"/>
        <color theme="1"/>
        <rFont val="ＭＳ Ｐゴシック"/>
        <family val="2"/>
        <charset val="128"/>
      </rPr>
      <t>の変更</t>
    </r>
    <rPh sb="16" eb="18">
      <t>ヘンコウ</t>
    </rPh>
    <phoneticPr fontId="2"/>
  </si>
  <si>
    <r>
      <rPr>
        <sz val="11"/>
        <color theme="1"/>
        <rFont val="ＭＳ Ｐゴシック"/>
        <family val="2"/>
        <charset val="128"/>
      </rPr>
      <t>　現状引数などのパラメータで変更が出来ないのでコード上で定数を変更する。</t>
    </r>
    <rPh sb="1" eb="3">
      <t>ゲンジョウ</t>
    </rPh>
    <rPh sb="3" eb="5">
      <t>ヒキスウ</t>
    </rPh>
    <rPh sb="14" eb="16">
      <t>ヘンコウ</t>
    </rPh>
    <rPh sb="17" eb="19">
      <t>デキ</t>
    </rPh>
    <rPh sb="26" eb="27">
      <t>ジョウ</t>
    </rPh>
    <rPh sb="28" eb="30">
      <t>ジョウスウ</t>
    </rPh>
    <rPh sb="31" eb="33">
      <t>ヘンコウ</t>
    </rPh>
    <phoneticPr fontId="2"/>
  </si>
  <si>
    <r>
      <rPr>
        <sz val="11"/>
        <color theme="1"/>
        <rFont val="ＭＳ Ｐゴシック"/>
        <family val="2"/>
        <charset val="128"/>
      </rPr>
      <t>・</t>
    </r>
    <r>
      <rPr>
        <sz val="11"/>
        <color theme="1"/>
        <rFont val="Tahoma"/>
        <family val="2"/>
      </rPr>
      <t xml:space="preserve"> Final XOR Value</t>
    </r>
    <r>
      <rPr>
        <sz val="11"/>
        <color theme="1"/>
        <rFont val="ＭＳ Ｐゴシック"/>
        <family val="2"/>
        <charset val="128"/>
      </rPr>
      <t>の変更</t>
    </r>
    <rPh sb="18" eb="20">
      <t>ヘンコウ</t>
    </rPh>
    <phoneticPr fontId="2"/>
  </si>
  <si>
    <r>
      <rPr>
        <b/>
        <u/>
        <sz val="11"/>
        <color theme="1"/>
        <rFont val="ＭＳ Ｐゴシック"/>
        <family val="3"/>
        <charset val="128"/>
      </rPr>
      <t>確かめ算：</t>
    </r>
    <rPh sb="0" eb="1">
      <t>タシ</t>
    </rPh>
    <rPh sb="3" eb="4">
      <t>ザン</t>
    </rPh>
    <phoneticPr fontId="2"/>
  </si>
  <si>
    <r>
      <t>Sunhine Web page</t>
    </r>
    <r>
      <rPr>
        <sz val="11"/>
        <color theme="1"/>
        <rFont val="ＭＳ Ｐゴシック"/>
        <family val="2"/>
        <charset val="128"/>
      </rPr>
      <t>：</t>
    </r>
    <phoneticPr fontId="2"/>
  </si>
  <si>
    <r>
      <rPr>
        <sz val="16"/>
        <color rgb="FF0000FF"/>
        <rFont val="ＭＳ Ｐゴシック"/>
        <family val="2"/>
        <charset val="128"/>
      </rPr>
      <t>【コード例】</t>
    </r>
    <rPh sb="4" eb="5">
      <t>レイ</t>
    </rPh>
    <phoneticPr fontId="2"/>
  </si>
  <si>
    <r>
      <t xml:space="preserve">C# </t>
    </r>
    <r>
      <rPr>
        <b/>
        <u/>
        <sz val="11"/>
        <color theme="1"/>
        <rFont val="ＭＳ Ｐゴシック"/>
        <family val="3"/>
        <charset val="128"/>
      </rPr>
      <t>ソースファイル：</t>
    </r>
    <phoneticPr fontId="2"/>
  </si>
  <si>
    <r>
      <rPr>
        <b/>
        <u/>
        <sz val="11"/>
        <color theme="1"/>
        <rFont val="ＭＳ Ｐゴシック"/>
        <family val="3"/>
        <charset val="128"/>
      </rPr>
      <t>コンパイル方法：</t>
    </r>
    <rPh sb="5" eb="7">
      <t>ホウホウ</t>
    </rPh>
    <phoneticPr fontId="2"/>
  </si>
  <si>
    <r>
      <t>C#</t>
    </r>
    <r>
      <rPr>
        <sz val="11"/>
        <color theme="1"/>
        <rFont val="ＭＳ Ｐゴシック"/>
        <family val="2"/>
        <charset val="128"/>
      </rPr>
      <t>コンパイラは下記に</t>
    </r>
    <r>
      <rPr>
        <sz val="11"/>
        <color theme="1"/>
        <rFont val="Tahoma"/>
        <family val="2"/>
      </rPr>
      <t>”csc.exe”</t>
    </r>
    <r>
      <rPr>
        <sz val="11"/>
        <color theme="1"/>
        <rFont val="ＭＳ Ｐゴシック"/>
        <family val="2"/>
        <charset val="128"/>
      </rPr>
      <t>というファイルがあるのでこの実行ファイルにコンパイル対象の</t>
    </r>
    <r>
      <rPr>
        <sz val="11"/>
        <color theme="1"/>
        <rFont val="Tahoma"/>
        <family val="2"/>
      </rPr>
      <t>C#</t>
    </r>
    <r>
      <rPr>
        <sz val="11"/>
        <color theme="1"/>
        <rFont val="ＭＳ Ｐゴシック"/>
        <family val="2"/>
        <charset val="128"/>
      </rPr>
      <t>コードを引数として渡す。</t>
    </r>
    <rPh sb="34" eb="36">
      <t>ジッコウ</t>
    </rPh>
    <rPh sb="46" eb="48">
      <t>タイショウ</t>
    </rPh>
    <rPh sb="55" eb="57">
      <t>ヒキスウ</t>
    </rPh>
    <rPh sb="60" eb="61">
      <t>ワタ</t>
    </rPh>
    <phoneticPr fontId="2"/>
  </si>
  <si>
    <r>
      <rPr>
        <sz val="11"/>
        <color theme="1"/>
        <rFont val="ＭＳ Ｐゴシック"/>
        <family val="3"/>
        <charset val="128"/>
      </rPr>
      <t>※赤字の</t>
    </r>
    <r>
      <rPr>
        <sz val="11"/>
        <color theme="1"/>
        <rFont val="Tahoma"/>
        <family val="2"/>
      </rPr>
      <t>Version</t>
    </r>
    <r>
      <rPr>
        <sz val="11"/>
        <color theme="1"/>
        <rFont val="ＭＳ Ｐゴシック"/>
        <family val="3"/>
        <charset val="128"/>
      </rPr>
      <t>部分はインストール環境に依存する可能性があるので各自確認する必要がある。</t>
    </r>
    <phoneticPr fontId="2"/>
  </si>
  <si>
    <r>
      <t xml:space="preserve">C# </t>
    </r>
    <r>
      <rPr>
        <b/>
        <u/>
        <sz val="11"/>
        <color theme="1"/>
        <rFont val="ＭＳ Ｐゴシック"/>
        <family val="3"/>
        <charset val="128"/>
      </rPr>
      <t>ソースファイル内容：</t>
    </r>
    <rPh sb="10" eb="12">
      <t>ナイヨウ</t>
    </rPh>
    <phoneticPr fontId="2"/>
  </si>
  <si>
    <r>
      <t>CRC16</t>
    </r>
    <r>
      <rPr>
        <sz val="16"/>
        <color rgb="FF0000FF"/>
        <rFont val="ＭＳ Ｐゴシック"/>
        <family val="2"/>
        <charset val="128"/>
      </rPr>
      <t>計算のためのコード実装例　（</t>
    </r>
    <r>
      <rPr>
        <sz val="16"/>
        <color rgb="FF0000FF"/>
        <rFont val="Tahoma"/>
        <family val="2"/>
      </rPr>
      <t>C#</t>
    </r>
    <r>
      <rPr>
        <sz val="16"/>
        <color rgb="FF0000FF"/>
        <rFont val="ＭＳ Ｐゴシック"/>
        <family val="2"/>
        <charset val="128"/>
      </rPr>
      <t>）</t>
    </r>
    <phoneticPr fontId="2"/>
  </si>
  <si>
    <r>
      <rPr>
        <sz val="11"/>
        <color theme="1"/>
        <rFont val="ＭＳ Ｐゴシック"/>
        <family val="2"/>
        <charset val="128"/>
      </rPr>
      <t>　を実行した時に表示される</t>
    </r>
    <r>
      <rPr>
        <sz val="11"/>
        <color theme="1"/>
        <rFont val="Tahoma"/>
        <family val="2"/>
      </rPr>
      <t>Look up table</t>
    </r>
    <r>
      <rPr>
        <sz val="11"/>
        <color theme="1"/>
        <rFont val="ＭＳ Ｐゴシック"/>
        <family val="2"/>
        <charset val="128"/>
      </rPr>
      <t>をコードにコピーして変更する</t>
    </r>
    <rPh sb="2" eb="4">
      <t>ジッコウ</t>
    </rPh>
    <rPh sb="6" eb="7">
      <t>トキ</t>
    </rPh>
    <rPh sb="8" eb="10">
      <t>ヒョウジ</t>
    </rPh>
    <rPh sb="36" eb="38">
      <t>ヘンコウ</t>
    </rPh>
    <phoneticPr fontId="2"/>
  </si>
  <si>
    <t>＜下記ソースコード変更箇所＞</t>
    <rPh sb="1" eb="3">
      <t>カキ</t>
    </rPh>
    <rPh sb="9" eb="13">
      <t>ヘンコウカショ</t>
    </rPh>
    <phoneticPr fontId="2"/>
  </si>
  <si>
    <r>
      <t>240404_CRC8_with_args.cs</t>
    </r>
    <r>
      <rPr>
        <sz val="11"/>
        <color theme="1"/>
        <rFont val="ＭＳ Ｐゴシック"/>
        <family val="2"/>
        <charset val="128"/>
      </rPr>
      <t>　（添付）</t>
    </r>
    <rPh sb="26" eb="28">
      <t>テンプ</t>
    </rPh>
    <phoneticPr fontId="2"/>
  </si>
  <si>
    <r>
      <t>240404_CRC16_with_args.cs</t>
    </r>
    <r>
      <rPr>
        <sz val="11"/>
        <color theme="1"/>
        <rFont val="ＭＳ Ｐゴシック"/>
        <family val="2"/>
        <charset val="128"/>
      </rPr>
      <t>（添付）</t>
    </r>
    <rPh sb="26" eb="28">
      <t>テンプ</t>
    </rPh>
    <phoneticPr fontId="2"/>
  </si>
  <si>
    <r>
      <t>C:\Windows\Microsoft.NET\Framework64\</t>
    </r>
    <r>
      <rPr>
        <sz val="11"/>
        <color rgb="FFFF0000"/>
        <rFont val="Tahoma"/>
        <family val="2"/>
      </rPr>
      <t>v4.0.30319</t>
    </r>
    <r>
      <rPr>
        <sz val="11"/>
        <color theme="1"/>
        <rFont val="Tahoma"/>
        <family val="2"/>
      </rPr>
      <t>\csc  240404_CRC16_with_args.cs</t>
    </r>
    <phoneticPr fontId="2"/>
  </si>
  <si>
    <r>
      <t>C:\Windows\Microsoft.NET\Framework64\</t>
    </r>
    <r>
      <rPr>
        <sz val="11"/>
        <color rgb="FFFF0000"/>
        <rFont val="Tahoma"/>
        <family val="2"/>
      </rPr>
      <t>v4.0.30319</t>
    </r>
    <r>
      <rPr>
        <sz val="11"/>
        <color theme="1"/>
        <rFont val="Tahoma"/>
        <family val="2"/>
      </rPr>
      <t>\csc 240404_CRC8_with_args.cs</t>
    </r>
    <phoneticPr fontId="2"/>
  </si>
  <si>
    <t>ソースコードがあるフォルダに移動し、フォルダのアドレスバーのパスに”cmd”と入力し、エンターを押す。</t>
    <rPh sb="14" eb="16">
      <t>イドウ</t>
    </rPh>
    <rPh sb="39" eb="41">
      <t>ニュウリョク</t>
    </rPh>
    <rPh sb="48" eb="49">
      <t>オ</t>
    </rPh>
    <phoneticPr fontId="2"/>
  </si>
  <si>
    <t>コマンドプロンプトが開くので、下記のコマンドを入力する。</t>
    <rPh sb="10" eb="11">
      <t>ヒラ</t>
    </rPh>
    <rPh sb="15" eb="17">
      <t>カキ</t>
    </rPh>
    <rPh sb="23" eb="25">
      <t>ニュウリョク</t>
    </rPh>
    <phoneticPr fontId="2"/>
  </si>
  <si>
    <r>
      <t>CRC</t>
    </r>
    <r>
      <rPr>
        <b/>
        <u/>
        <sz val="11"/>
        <color theme="1"/>
        <rFont val="ＭＳ Ｐゴシック"/>
        <family val="3"/>
        <charset val="128"/>
      </rPr>
      <t>パラメータをコード上で変更する方法；</t>
    </r>
    <rPh sb="12" eb="13">
      <t>ジョウ</t>
    </rPh>
    <rPh sb="14" eb="16">
      <t>ヘンコウ</t>
    </rPh>
    <rPh sb="18" eb="20">
      <t>ホウホウ</t>
    </rPh>
    <phoneticPr fontId="2"/>
  </si>
  <si>
    <r>
      <t>Index</t>
    </r>
    <r>
      <rPr>
        <sz val="11"/>
        <color theme="1"/>
        <rFont val="ＭＳ Ｐゴシック"/>
        <family val="2"/>
        <charset val="128"/>
      </rPr>
      <t>：</t>
    </r>
    <phoneticPr fontId="2"/>
  </si>
  <si>
    <t>Sunshine Web page:</t>
    <phoneticPr fontId="21"/>
  </si>
  <si>
    <t>http://www.sunshine2k.de/coding/javascript/crc/crc_js.html</t>
    <phoneticPr fontId="20"/>
  </si>
  <si>
    <t>概念説明のページ：</t>
    <rPh sb="0" eb="2">
      <t>ガイネン</t>
    </rPh>
    <rPh sb="2" eb="4">
      <t>セツメイ</t>
    </rPh>
    <phoneticPr fontId="21"/>
  </si>
  <si>
    <t>上記のSunshineのWeb pageにはCRCの説明も載っている（下記のリンク）。</t>
    <rPh sb="0" eb="2">
      <t>ジョウキ</t>
    </rPh>
    <rPh sb="26" eb="28">
      <t>セツメイ</t>
    </rPh>
    <rPh sb="29" eb="30">
      <t>ノ</t>
    </rPh>
    <rPh sb="35" eb="37">
      <t>カキ</t>
    </rPh>
    <phoneticPr fontId="21"/>
  </si>
  <si>
    <t>http://www.sunshine2k.de/articles/coding/crc/understanding_crc.html</t>
    <phoneticPr fontId="21"/>
  </si>
  <si>
    <t>検査符号（Checksum）の長さをｎとした時、CRCは下記の計算を行う。</t>
    <rPh sb="0" eb="4">
      <t>ケンサフゴウ</t>
    </rPh>
    <rPh sb="15" eb="16">
      <t>ナガ</t>
    </rPh>
    <rPh sb="22" eb="23">
      <t>トキ</t>
    </rPh>
    <rPh sb="28" eb="30">
      <t>カキ</t>
    </rPh>
    <rPh sb="31" eb="33">
      <t>ケイサン</t>
    </rPh>
    <rPh sb="34" eb="35">
      <t>オコナ</t>
    </rPh>
    <phoneticPr fontId="21"/>
  </si>
  <si>
    <r>
      <t xml:space="preserve"> n </t>
    </r>
    <r>
      <rPr>
        <b/>
        <u/>
        <sz val="9"/>
        <color theme="1"/>
        <rFont val="ＭＳ ゴシック"/>
        <family val="3"/>
        <charset val="128"/>
      </rPr>
      <t>ビットの検査符号計算：</t>
    </r>
    <rPh sb="7" eb="11">
      <t>ケンサフゴウ</t>
    </rPh>
    <rPh sb="11" eb="13">
      <t>ケイサン</t>
    </rPh>
    <phoneticPr fontId="21"/>
  </si>
  <si>
    <t>Step1.</t>
    <phoneticPr fontId="21"/>
  </si>
  <si>
    <t>生成多項式から検査用ビットパターン（マスク値）を生成する</t>
    <rPh sb="0" eb="5">
      <t>セイセイタコウシキ</t>
    </rPh>
    <rPh sb="7" eb="10">
      <t>ケンサヨウ</t>
    </rPh>
    <rPh sb="21" eb="22">
      <t>チ</t>
    </rPh>
    <rPh sb="24" eb="26">
      <t>セイセイ</t>
    </rPh>
    <phoneticPr fontId="21"/>
  </si>
  <si>
    <t>　左端及び右端のビットが 1 である ( n + 1) ビットのビットパターンを規則（生成多項式）に従って生成する。</t>
    <rPh sb="40" eb="42">
      <t>キソク</t>
    </rPh>
    <rPh sb="50" eb="51">
      <t>シタガ</t>
    </rPh>
    <rPh sb="53" eb="55">
      <t>セイセイ</t>
    </rPh>
    <phoneticPr fontId="21"/>
  </si>
  <si>
    <t>　生成多項式の計算は下記を参照。生成多項式は検査符号長になるので、このビットパターンは左端の１ビット分（１が入る）だけビット長が長くなる。</t>
    <rPh sb="1" eb="6">
      <t>セイセイタコウシキ</t>
    </rPh>
    <rPh sb="7" eb="9">
      <t>ケイサン</t>
    </rPh>
    <rPh sb="10" eb="12">
      <t>カキ</t>
    </rPh>
    <rPh sb="13" eb="15">
      <t>サンショウ</t>
    </rPh>
    <rPh sb="16" eb="21">
      <t>セイセイタコウシキ</t>
    </rPh>
    <rPh sb="22" eb="27">
      <t>ケンサフゴウチョウ</t>
    </rPh>
    <rPh sb="43" eb="45">
      <t>ヒダリハジ</t>
    </rPh>
    <rPh sb="50" eb="51">
      <t>ブン</t>
    </rPh>
    <rPh sb="54" eb="55">
      <t>ハイ</t>
    </rPh>
    <rPh sb="62" eb="63">
      <t>チョウ</t>
    </rPh>
    <rPh sb="64" eb="65">
      <t>ナガ</t>
    </rPh>
    <phoneticPr fontId="21"/>
  </si>
  <si>
    <t>Step2.</t>
    <phoneticPr fontId="21"/>
  </si>
  <si>
    <t>　検査対象（データ）のビット列の右端に n ビットの 0 を付加したビット列を作る。</t>
    <rPh sb="1" eb="5">
      <t>ケンサタイショウ</t>
    </rPh>
    <phoneticPr fontId="21"/>
  </si>
  <si>
    <t>Step3.</t>
    <phoneticPr fontId="21"/>
  </si>
  <si>
    <t>　Step2. で作ったビット列に対して次の操作を行う。</t>
    <phoneticPr fontId="21"/>
  </si>
  <si>
    <r>
      <rPr>
        <b/>
        <sz val="11"/>
        <color theme="1"/>
        <rFont val="Yu Gothic"/>
        <family val="3"/>
        <charset val="128"/>
      </rPr>
      <t xml:space="preserve">Step.3-1 </t>
    </r>
    <r>
      <rPr>
        <sz val="11"/>
        <color theme="1"/>
        <rFont val="游ゴシック"/>
        <family val="2"/>
        <scheme val="minor"/>
      </rPr>
      <t>ビット列の左端から調べ、最初に値が 1 であるビットの位置 （A）を見つける。</t>
    </r>
    <phoneticPr fontId="21"/>
  </si>
  <si>
    <r>
      <rPr>
        <b/>
        <sz val="11"/>
        <color theme="1"/>
        <rFont val="Yu Gothic"/>
        <family val="3"/>
        <charset val="128"/>
      </rPr>
      <t>Step.3-2</t>
    </r>
    <r>
      <rPr>
        <sz val="11"/>
        <color theme="1"/>
        <rFont val="游ゴシック"/>
        <family val="2"/>
        <scheme val="minor"/>
      </rPr>
      <t>（A） を左端とし （A） + n を右端とする部分ビット列に対し，</t>
    </r>
    <phoneticPr fontId="21"/>
  </si>
  <si>
    <t xml:space="preserve">                Step1.で生成した検査用ビットパターン（マスク値）で排他的論理和 (XOR) を取る。</t>
    <phoneticPr fontId="21"/>
  </si>
  <si>
    <r>
      <rPr>
        <b/>
        <sz val="11"/>
        <color theme="1"/>
        <rFont val="Yu Gothic"/>
        <family val="3"/>
        <charset val="128"/>
      </rPr>
      <t>Step.3-3</t>
    </r>
    <r>
      <rPr>
        <sz val="11"/>
        <color theme="1"/>
        <rFont val="游ゴシック"/>
        <family val="2"/>
        <scheme val="minor"/>
      </rPr>
      <t>　ビット列の右端 n ビットまですべて 0 になるまで， Step.3-1とStep.3-2を繰り返す。</t>
    </r>
    <phoneticPr fontId="21"/>
  </si>
  <si>
    <t>最後に残った余りが検査符号となる</t>
    <rPh sb="0" eb="2">
      <t>サイゴ</t>
    </rPh>
    <rPh sb="3" eb="4">
      <t>ノコ</t>
    </rPh>
    <rPh sb="6" eb="7">
      <t>アマ</t>
    </rPh>
    <rPh sb="9" eb="13">
      <t>ケンサフゴウ</t>
    </rPh>
    <phoneticPr fontId="21"/>
  </si>
  <si>
    <t>【生成多項式について】</t>
    <rPh sb="1" eb="6">
      <t>セイセイタコウシキ</t>
    </rPh>
    <phoneticPr fontId="21"/>
  </si>
  <si>
    <t>Wikipedia：CRCより</t>
    <phoneticPr fontId="21"/>
  </si>
  <si>
    <t>https://ja.wikipedia.org/wiki/%E5%B7%A1%E5%9B%9E%E5%86%97%E9%95%B7%E6%A4%9C%E6%9F%BB</t>
    <phoneticPr fontId="21"/>
  </si>
  <si>
    <r>
      <t>X</t>
    </r>
    <r>
      <rPr>
        <vertAlign val="superscript"/>
        <sz val="18"/>
        <color theme="1"/>
        <rFont val="Yu Gothic"/>
        <family val="3"/>
        <charset val="128"/>
      </rPr>
      <t>16</t>
    </r>
    <r>
      <rPr>
        <sz val="18"/>
        <color theme="1"/>
        <rFont val="游ゴシック"/>
        <family val="3"/>
        <charset val="128"/>
        <scheme val="minor"/>
      </rPr>
      <t xml:space="preserve"> + X</t>
    </r>
    <r>
      <rPr>
        <vertAlign val="superscript"/>
        <sz val="18"/>
        <color theme="1"/>
        <rFont val="Yu Gothic"/>
        <family val="3"/>
        <charset val="128"/>
      </rPr>
      <t>12</t>
    </r>
    <r>
      <rPr>
        <sz val="18"/>
        <color theme="1"/>
        <rFont val="游ゴシック"/>
        <family val="3"/>
        <charset val="128"/>
        <scheme val="minor"/>
      </rPr>
      <t xml:space="preserve"> + X</t>
    </r>
    <r>
      <rPr>
        <vertAlign val="superscript"/>
        <sz val="18"/>
        <color theme="1"/>
        <rFont val="Yu Gothic"/>
        <family val="3"/>
        <charset val="128"/>
      </rPr>
      <t>5</t>
    </r>
    <r>
      <rPr>
        <sz val="18"/>
        <color theme="1"/>
        <rFont val="游ゴシック"/>
        <family val="3"/>
        <charset val="128"/>
        <scheme val="minor"/>
      </rPr>
      <t xml:space="preserve"> + 1</t>
    </r>
    <phoneticPr fontId="21"/>
  </si>
  <si>
    <t>0x11021 =&gt; 0x1021</t>
    <phoneticPr fontId="21"/>
  </si>
  <si>
    <t>CCIT-FALSE CRC16</t>
    <phoneticPr fontId="21"/>
  </si>
  <si>
    <t>Dec</t>
    <phoneticPr fontId="21"/>
  </si>
  <si>
    <t>Hex</t>
    <phoneticPr fontId="21"/>
  </si>
  <si>
    <t>2^16</t>
    <phoneticPr fontId="2"/>
  </si>
  <si>
    <t>2^12</t>
    <phoneticPr fontId="2"/>
  </si>
  <si>
    <t>2^5</t>
    <phoneticPr fontId="2"/>
  </si>
  <si>
    <t>1</t>
    <phoneticPr fontId="2"/>
  </si>
  <si>
    <t>Sum Dec</t>
    <phoneticPr fontId="2"/>
  </si>
  <si>
    <r>
      <t>X</t>
    </r>
    <r>
      <rPr>
        <vertAlign val="superscript"/>
        <sz val="18"/>
        <color theme="1"/>
        <rFont val="Yu Gothic"/>
        <family val="3"/>
        <charset val="128"/>
      </rPr>
      <t>8</t>
    </r>
    <r>
      <rPr>
        <sz val="18"/>
        <color theme="1"/>
        <rFont val="游ゴシック"/>
        <family val="3"/>
        <charset val="128"/>
        <scheme val="minor"/>
      </rPr>
      <t xml:space="preserve"> + X</t>
    </r>
    <r>
      <rPr>
        <vertAlign val="superscript"/>
        <sz val="18"/>
        <color theme="1"/>
        <rFont val="Yu Gothic"/>
        <family val="3"/>
        <charset val="128"/>
      </rPr>
      <t>4</t>
    </r>
    <r>
      <rPr>
        <sz val="18"/>
        <color theme="1"/>
        <rFont val="游ゴシック"/>
        <family val="3"/>
        <charset val="128"/>
        <scheme val="minor"/>
      </rPr>
      <t xml:space="preserve"> + X</t>
    </r>
    <r>
      <rPr>
        <vertAlign val="superscript"/>
        <sz val="18"/>
        <color theme="1"/>
        <rFont val="Yu Gothic"/>
        <family val="3"/>
        <charset val="128"/>
      </rPr>
      <t>3</t>
    </r>
    <r>
      <rPr>
        <sz val="18"/>
        <color theme="1"/>
        <rFont val="游ゴシック"/>
        <family val="3"/>
        <charset val="128"/>
        <scheme val="minor"/>
      </rPr>
      <t xml:space="preserve"> + X</t>
    </r>
    <r>
      <rPr>
        <vertAlign val="superscript"/>
        <sz val="18"/>
        <color theme="1"/>
        <rFont val="Yu Gothic"/>
        <family val="3"/>
        <charset val="128"/>
      </rPr>
      <t>2</t>
    </r>
    <r>
      <rPr>
        <sz val="18"/>
        <color theme="1"/>
        <rFont val="游ゴシック"/>
        <family val="3"/>
        <charset val="128"/>
        <scheme val="minor"/>
      </rPr>
      <t xml:space="preserve"> + 1</t>
    </r>
    <phoneticPr fontId="21"/>
  </si>
  <si>
    <t>0x11D =&gt; 0x1D</t>
    <phoneticPr fontId="21"/>
  </si>
  <si>
    <t>SAE J1850</t>
    <phoneticPr fontId="21"/>
  </si>
  <si>
    <t>2^8</t>
    <phoneticPr fontId="2"/>
  </si>
  <si>
    <t>2^4</t>
    <phoneticPr fontId="2"/>
  </si>
  <si>
    <t>2^3</t>
    <phoneticPr fontId="2"/>
  </si>
  <si>
    <t>2^2</t>
    <phoneticPr fontId="2"/>
  </si>
  <si>
    <t>Sum Dec</t>
    <phoneticPr fontId="21"/>
  </si>
  <si>
    <r>
      <t>Checksum</t>
    </r>
    <r>
      <rPr>
        <b/>
        <sz val="15"/>
        <color rgb="FF0000FF"/>
        <rFont val="ＭＳ Ｐゴシック"/>
        <family val="2"/>
        <charset val="128"/>
      </rPr>
      <t>と</t>
    </r>
    <r>
      <rPr>
        <b/>
        <sz val="15"/>
        <color rgb="FF0000FF"/>
        <rFont val="Tahoma"/>
        <family val="2"/>
        <charset val="128"/>
      </rPr>
      <t>CRC</t>
    </r>
    <r>
      <rPr>
        <b/>
        <sz val="15"/>
        <color rgb="FF0000FF"/>
        <rFont val="ＭＳ Ｐゴシック"/>
        <family val="2"/>
        <charset val="128"/>
      </rPr>
      <t>の説明</t>
    </r>
    <rPh sb="13" eb="15">
      <t>セツメイ</t>
    </rPh>
    <phoneticPr fontId="2"/>
  </si>
  <si>
    <t>【簡易説明】</t>
    <rPh sb="1" eb="5">
      <t>カンイセツメイ</t>
    </rPh>
    <phoneticPr fontId="21"/>
  </si>
  <si>
    <t>【詳細説明ページ】</t>
    <rPh sb="1" eb="3">
      <t>ショウサイ</t>
    </rPh>
    <rPh sb="3" eb="5">
      <t>セツメイ</t>
    </rPh>
    <phoneticPr fontId="21"/>
  </si>
  <si>
    <t>Link to Sheet'Outline'</t>
    <phoneticPr fontId="2"/>
  </si>
  <si>
    <t>CRC計算の説明</t>
    <rPh sb="3" eb="5">
      <t>ケイサン</t>
    </rPh>
    <rPh sb="6" eb="8">
      <t>セツメイ</t>
    </rPh>
    <phoneticPr fontId="2"/>
  </si>
  <si>
    <t>Link to Sheet'C#_CRC16'</t>
    <phoneticPr fontId="2"/>
  </si>
  <si>
    <t>Link to Sheet 'C#_CRC8'</t>
    <phoneticPr fontId="2"/>
  </si>
  <si>
    <t>Link to Sheet 'Python CRC in library'</t>
    <phoneticPr fontId="2"/>
  </si>
  <si>
    <t>pyxcp/pyxcp at master · christoph2/pyxcp · GitHub</t>
    <phoneticPr fontId="20"/>
  </si>
  <si>
    <t>https://github.com/christoph2/pyxcp/tree/master/pyxcp</t>
    <phoneticPr fontId="20"/>
  </si>
  <si>
    <t>Testフォルダの中にChecksumのテストコードもある。</t>
    <phoneticPr fontId="20"/>
  </si>
  <si>
    <t>test\test_checksum.py</t>
    <phoneticPr fontId="20"/>
  </si>
  <si>
    <t>PythonでのCRC確認</t>
    <rPh sb="11" eb="13">
      <t>カクニン</t>
    </rPh>
    <phoneticPr fontId="2"/>
  </si>
  <si>
    <t>Pythonライブラリ”PyXCP”にはCRCコードも含まれている。これを利用してPython上でのCRC簡易確認も可能。</t>
    <rPh sb="27" eb="28">
      <t>フク</t>
    </rPh>
    <rPh sb="37" eb="39">
      <t>リヨウ</t>
    </rPh>
    <rPh sb="47" eb="48">
      <t>ジョウ</t>
    </rPh>
    <rPh sb="53" eb="55">
      <t>カンイ</t>
    </rPh>
    <rPh sb="55" eb="57">
      <t>カクニン</t>
    </rPh>
    <rPh sb="58" eb="60">
      <t>カノウ</t>
    </rPh>
    <phoneticPr fontId="20"/>
  </si>
  <si>
    <t>【利用するライブラリ】</t>
    <rPh sb="1" eb="3">
      <t>リヨウ</t>
    </rPh>
    <phoneticPr fontId="2"/>
  </si>
  <si>
    <t>コード：</t>
    <phoneticPr fontId="20"/>
  </si>
  <si>
    <t>　checksum.py</t>
    <phoneticPr fontId="2"/>
  </si>
  <si>
    <t>テスト用コード：</t>
    <rPh sb="3" eb="4">
      <t>ヨウ</t>
    </rPh>
    <phoneticPr fontId="2"/>
  </si>
  <si>
    <t>【インストール】</t>
    <phoneticPr fontId="2"/>
  </si>
  <si>
    <t>Spyder</t>
    <phoneticPr fontId="39"/>
  </si>
  <si>
    <t>Welcome to Spyder’s Documentation — Spyder 5 documentation (spyder-ide.org)</t>
  </si>
  <si>
    <t>PythonWin</t>
    <phoneticPr fontId="39"/>
  </si>
  <si>
    <r>
      <t>”Windows start” =&gt; ”Software Center” =&gt; ”Self Service Portal” =&gt; ”Install Software”</t>
    </r>
    <r>
      <rPr>
        <sz val="11"/>
        <color theme="1"/>
        <rFont val="ＭＳ Ｐゴシック"/>
        <family val="2"/>
        <charset val="128"/>
      </rPr>
      <t>で</t>
    </r>
    <r>
      <rPr>
        <sz val="11"/>
        <color theme="1"/>
        <rFont val="Tahoma"/>
        <family val="2"/>
      </rPr>
      <t>Software Application</t>
    </r>
    <r>
      <rPr>
        <sz val="11"/>
        <color theme="1"/>
        <rFont val="ＭＳ Ｐゴシック"/>
        <family val="2"/>
        <charset val="128"/>
      </rPr>
      <t>を</t>
    </r>
    <r>
      <rPr>
        <sz val="11"/>
        <color theme="1"/>
        <rFont val="Tahoma"/>
        <family val="2"/>
      </rPr>
      <t>”Python”</t>
    </r>
    <r>
      <rPr>
        <sz val="11"/>
        <color theme="1"/>
        <rFont val="ＭＳ Ｐゴシック"/>
        <family val="2"/>
        <charset val="128"/>
      </rPr>
      <t>で検索。</t>
    </r>
    <rPh sb="114" eb="116">
      <t>ケンサク</t>
    </rPh>
    <phoneticPr fontId="2"/>
  </si>
  <si>
    <r>
      <t>ZF</t>
    </r>
    <r>
      <rPr>
        <sz val="11"/>
        <color theme="1"/>
        <rFont val="ＭＳ Ｐゴシック"/>
        <family val="2"/>
        <charset val="128"/>
      </rPr>
      <t>の</t>
    </r>
    <r>
      <rPr>
        <sz val="11"/>
        <color theme="1"/>
        <rFont val="Tahoma"/>
        <family val="2"/>
        <charset val="128"/>
      </rPr>
      <t>Software Center</t>
    </r>
    <r>
      <rPr>
        <sz val="11"/>
        <color theme="1"/>
        <rFont val="ＭＳ Ｐゴシック"/>
        <family val="2"/>
        <charset val="128"/>
      </rPr>
      <t>では下記の登録で</t>
    </r>
    <r>
      <rPr>
        <sz val="11"/>
        <color theme="1"/>
        <rFont val="Tahoma"/>
        <family val="2"/>
      </rPr>
      <t>Python 3.9</t>
    </r>
    <r>
      <rPr>
        <sz val="11"/>
        <color theme="1"/>
        <rFont val="ＭＳ Ｐゴシック"/>
        <family val="2"/>
        <charset val="128"/>
      </rPr>
      <t>や</t>
    </r>
    <r>
      <rPr>
        <sz val="11"/>
        <color theme="1"/>
        <rFont val="Tahoma"/>
        <family val="2"/>
      </rPr>
      <t>Python 3.11</t>
    </r>
    <r>
      <rPr>
        <sz val="11"/>
        <color theme="1"/>
        <rFont val="ＭＳ Ｐゴシック"/>
        <family val="2"/>
        <charset val="128"/>
      </rPr>
      <t>のかたちでパッケージ化されたものがインストールできる。</t>
    </r>
    <rPh sb="20" eb="22">
      <t>カキ</t>
    </rPh>
    <rPh sb="23" eb="25">
      <t>トウロク</t>
    </rPh>
    <rPh sb="58" eb="59">
      <t>カ</t>
    </rPh>
    <phoneticPr fontId="39"/>
  </si>
  <si>
    <t>計算対象データとCRCタイプを引数としてChecksum.check関数に引き渡している。</t>
    <rPh sb="0" eb="2">
      <t>ケイサン</t>
    </rPh>
    <rPh sb="2" eb="4">
      <t>タイショウ</t>
    </rPh>
    <rPh sb="15" eb="17">
      <t>ヒキスウ</t>
    </rPh>
    <rPh sb="34" eb="36">
      <t>カンスウ</t>
    </rPh>
    <rPh sb="37" eb="38">
      <t>ヒ</t>
    </rPh>
    <rPh sb="39" eb="40">
      <t>ワタ</t>
    </rPh>
    <phoneticPr fontId="2"/>
  </si>
  <si>
    <r>
      <rPr>
        <sz val="11"/>
        <color theme="1"/>
        <rFont val="ＭＳ Ｐゴシック"/>
        <family val="2"/>
        <charset val="128"/>
      </rPr>
      <t>下記</t>
    </r>
    <r>
      <rPr>
        <sz val="11"/>
        <color theme="1"/>
        <rFont val="Tahoma"/>
        <family val="2"/>
      </rPr>
      <t>Sunhine Web page</t>
    </r>
    <r>
      <rPr>
        <sz val="11"/>
        <color theme="1"/>
        <rFont val="ＭＳ Ｐゴシック"/>
        <family val="2"/>
        <charset val="128"/>
      </rPr>
      <t>で計算結果の確からしさを確認できる。</t>
    </r>
    <rPh sb="0" eb="2">
      <t>カキ</t>
    </rPh>
    <rPh sb="19" eb="21">
      <t>ケイサン</t>
    </rPh>
    <rPh sb="21" eb="23">
      <t>ケッカ</t>
    </rPh>
    <rPh sb="24" eb="25">
      <t>タシ</t>
    </rPh>
    <rPh sb="30" eb="32">
      <t>カクニン</t>
    </rPh>
    <phoneticPr fontId="2"/>
  </si>
  <si>
    <r>
      <t>ZF</t>
    </r>
    <r>
      <rPr>
        <b/>
        <u/>
        <sz val="11"/>
        <color theme="1"/>
        <rFont val="ＭＳ Ｐゴシック"/>
        <family val="2"/>
        <charset val="128"/>
      </rPr>
      <t>の</t>
    </r>
    <r>
      <rPr>
        <b/>
        <u/>
        <sz val="11"/>
        <color theme="1"/>
        <rFont val="Tahoma"/>
        <family val="2"/>
        <charset val="128"/>
      </rPr>
      <t>Python</t>
    </r>
    <r>
      <rPr>
        <b/>
        <u/>
        <sz val="11"/>
        <color theme="1"/>
        <rFont val="ＭＳ Ｐゴシック"/>
        <family val="2"/>
        <charset val="128"/>
      </rPr>
      <t>環境インストール：</t>
    </r>
    <rPh sb="9" eb="11">
      <t>カンキョウ</t>
    </rPh>
    <phoneticPr fontId="39"/>
  </si>
  <si>
    <t>【実行環境】</t>
    <rPh sb="1" eb="3">
      <t>ジッコウ</t>
    </rPh>
    <rPh sb="3" eb="5">
      <t>カンキョウ</t>
    </rPh>
    <phoneticPr fontId="2"/>
  </si>
  <si>
    <t>【実行例】</t>
    <rPh sb="1" eb="4">
      <t>ジッコウレイ</t>
    </rPh>
    <phoneticPr fontId="2"/>
  </si>
  <si>
    <r>
      <t>Python</t>
    </r>
    <r>
      <rPr>
        <sz val="11"/>
        <color theme="1"/>
        <rFont val="ＭＳ Ｐゴシック"/>
        <family val="2"/>
        <charset val="128"/>
      </rPr>
      <t>インストール後に、コマンドラインで”</t>
    </r>
    <r>
      <rPr>
        <sz val="11"/>
        <color theme="1"/>
        <rFont val="Tahoma"/>
        <family val="2"/>
      </rPr>
      <t>python --version</t>
    </r>
    <r>
      <rPr>
        <sz val="11"/>
        <color theme="1"/>
        <rFont val="ＭＳ Ｐゴシック"/>
        <family val="2"/>
        <charset val="128"/>
      </rPr>
      <t>”を実行すると</t>
    </r>
    <r>
      <rPr>
        <sz val="11"/>
        <color theme="1"/>
        <rFont val="Tahoma"/>
        <family val="2"/>
      </rPr>
      <t>Python version</t>
    </r>
    <r>
      <rPr>
        <sz val="11"/>
        <color theme="1"/>
        <rFont val="ＭＳ Ｐゴシック"/>
        <family val="2"/>
        <charset val="128"/>
      </rPr>
      <t>が確認できる。</t>
    </r>
    <rPh sb="12" eb="13">
      <t>ゴ</t>
    </rPh>
    <rPh sb="42" eb="44">
      <t>ジッコウ</t>
    </rPh>
    <rPh sb="62" eb="64">
      <t>カクニン</t>
    </rPh>
    <phoneticPr fontId="39"/>
  </si>
  <si>
    <t>https://pypi.org/</t>
    <phoneticPr fontId="2"/>
  </si>
  <si>
    <t>利用するライブラリ（パッケージ）のインストール：</t>
    <rPh sb="0" eb="2">
      <t>リヨウ</t>
    </rPh>
    <phoneticPr fontId="39"/>
  </si>
  <si>
    <t>利用するライブラリはPyXCPはPypi.orgで配布されているパッケージであり、下記のWeb pageで”pyxcp”と検索すればインストール用のコマンドが確認できる。</t>
    <rPh sb="0" eb="2">
      <t>リヨウ</t>
    </rPh>
    <rPh sb="25" eb="27">
      <t>ハイフ</t>
    </rPh>
    <rPh sb="41" eb="43">
      <t>カキ</t>
    </rPh>
    <rPh sb="61" eb="63">
      <t>ケンサク</t>
    </rPh>
    <rPh sb="72" eb="73">
      <t>ヨウ</t>
    </rPh>
    <rPh sb="79" eb="81">
      <t>カクニン</t>
    </rPh>
    <phoneticPr fontId="2"/>
  </si>
  <si>
    <t>下記のコードは、Application”Spyder”から上記pyxcpライブラリのChecksum関数をコールした例である。</t>
    <rPh sb="0" eb="2">
      <t>カキ</t>
    </rPh>
    <rPh sb="29" eb="31">
      <t>ジョウキ</t>
    </rPh>
    <rPh sb="50" eb="52">
      <t>カンスウ</t>
    </rPh>
    <rPh sb="58" eb="59">
      <t>レイ</t>
    </rPh>
    <rPh sb="62" eb="63">
      <t>ジツレイ</t>
    </rPh>
    <phoneticPr fontId="39"/>
  </si>
  <si>
    <t>生成多項式とLook up tableについて：</t>
    <rPh sb="0" eb="2">
      <t>セイセイ</t>
    </rPh>
    <rPh sb="2" eb="5">
      <t>タコウシキ</t>
    </rPh>
    <phoneticPr fontId="21"/>
  </si>
  <si>
    <t>Look up tableについて、余りが１の時の値は必ず生成多項式で計算した値となる。</t>
    <rPh sb="18" eb="19">
      <t>アマ</t>
    </rPh>
    <rPh sb="23" eb="24">
      <t>トキ</t>
    </rPh>
    <rPh sb="25" eb="26">
      <t>アタイ</t>
    </rPh>
    <rPh sb="27" eb="28">
      <t>カナラ</t>
    </rPh>
    <rPh sb="29" eb="34">
      <t>セイセイタコウシキ</t>
    </rPh>
    <rPh sb="35" eb="37">
      <t>ケイサン</t>
    </rPh>
    <rPh sb="39" eb="40">
      <t>アタイ</t>
    </rPh>
    <phoneticPr fontId="21"/>
  </si>
  <si>
    <t>上記の通りSunhineのWeb pageではLook Up Tableが表示されるが、除算(XOR)の結果が1の場合の結果は必ず生成多項式の計算結果となる。</t>
    <rPh sb="0" eb="2">
      <t>ジョウキ</t>
    </rPh>
    <rPh sb="3" eb="4">
      <t>トオ</t>
    </rPh>
    <rPh sb="37" eb="39">
      <t>ヒョウジ</t>
    </rPh>
    <rPh sb="44" eb="46">
      <t>ジョザン</t>
    </rPh>
    <rPh sb="52" eb="54">
      <t>ケッカ</t>
    </rPh>
    <rPh sb="57" eb="59">
      <t>バアイ</t>
    </rPh>
    <rPh sb="60" eb="62">
      <t>ケッカ</t>
    </rPh>
    <rPh sb="63" eb="64">
      <t>カナラ</t>
    </rPh>
    <rPh sb="65" eb="67">
      <t>セイセイ</t>
    </rPh>
    <rPh sb="67" eb="70">
      <t>タコウシキ</t>
    </rPh>
    <rPh sb="71" eb="75">
      <t>ケイサンケッカ</t>
    </rPh>
    <phoneticPr fontId="21"/>
  </si>
  <si>
    <t>理由は、余りが１の場合というのは、検査対象の最終ビットが１になるので、生成多項式の左端に１が足された式との除算は、</t>
    <rPh sb="0" eb="2">
      <t>リユウ</t>
    </rPh>
    <rPh sb="4" eb="5">
      <t>アマ</t>
    </rPh>
    <rPh sb="9" eb="11">
      <t>バアイ</t>
    </rPh>
    <rPh sb="17" eb="21">
      <t>ケンサタイショウ</t>
    </rPh>
    <rPh sb="22" eb="24">
      <t>サイシュウ</t>
    </rPh>
    <rPh sb="35" eb="40">
      <t>セイセイタコウシキ</t>
    </rPh>
    <rPh sb="41" eb="43">
      <t>ヒダリハジ</t>
    </rPh>
    <rPh sb="46" eb="47">
      <t>タ</t>
    </rPh>
    <rPh sb="50" eb="51">
      <t>シキ</t>
    </rPh>
    <rPh sb="53" eb="55">
      <t>ジョザン</t>
    </rPh>
    <phoneticPr fontId="21"/>
  </si>
  <si>
    <t>言い換えると０ Paddingされたビットと多項式のXORになるためである（全て0 Paddingされた部分に多項式でXORするのと同じなので、結果は生成多項式となる）。</t>
    <rPh sb="0" eb="1">
      <t>イ</t>
    </rPh>
    <rPh sb="2" eb="3">
      <t>カ</t>
    </rPh>
    <rPh sb="22" eb="25">
      <t>タコウシキ</t>
    </rPh>
    <rPh sb="38" eb="39">
      <t>スベ</t>
    </rPh>
    <rPh sb="52" eb="54">
      <t>ブブン</t>
    </rPh>
    <rPh sb="55" eb="58">
      <t>タコウシキ</t>
    </rPh>
    <rPh sb="66" eb="67">
      <t>オナ</t>
    </rPh>
    <rPh sb="72" eb="74">
      <t>ケッカ</t>
    </rPh>
    <rPh sb="75" eb="77">
      <t>セイセイ</t>
    </rPh>
    <rPh sb="77" eb="80">
      <t>タコウシキ</t>
    </rPh>
    <phoneticPr fontId="21"/>
  </si>
  <si>
    <t>Look up tableはXOR計算一回につき生じる256通りの答え（XORの余りの値）を一次元配列として持っている</t>
    <rPh sb="17" eb="19">
      <t>ケイサン</t>
    </rPh>
    <rPh sb="19" eb="21">
      <t>イッカイ</t>
    </rPh>
    <rPh sb="24" eb="25">
      <t>ショウ</t>
    </rPh>
    <rPh sb="30" eb="31">
      <t>ドオ</t>
    </rPh>
    <rPh sb="33" eb="34">
      <t>コタ</t>
    </rPh>
    <rPh sb="40" eb="41">
      <t>アマ</t>
    </rPh>
    <rPh sb="43" eb="44">
      <t>アタイ</t>
    </rPh>
    <rPh sb="46" eb="51">
      <t>イチジゲンハイレツ</t>
    </rPh>
    <rPh sb="54" eb="55">
      <t>モ</t>
    </rPh>
    <phoneticPr fontId="2"/>
  </si>
  <si>
    <t>（ビット計算をすると処理リソースの無駄になるため、余りのパターン全256通りの答えを一次元の配列として用意する事でリソースを節約している）。</t>
    <rPh sb="4" eb="6">
      <t>ケイサン</t>
    </rPh>
    <rPh sb="10" eb="12">
      <t>ショリ</t>
    </rPh>
    <rPh sb="17" eb="19">
      <t>ムダ</t>
    </rPh>
    <rPh sb="25" eb="26">
      <t>アマ</t>
    </rPh>
    <rPh sb="32" eb="33">
      <t>ゼン</t>
    </rPh>
    <rPh sb="36" eb="37">
      <t>トオ</t>
    </rPh>
    <rPh sb="39" eb="40">
      <t>コタ</t>
    </rPh>
    <rPh sb="42" eb="45">
      <t>イチジゲン</t>
    </rPh>
    <rPh sb="46" eb="48">
      <t>ハイレツ</t>
    </rPh>
    <rPh sb="51" eb="53">
      <t>ヨウイ</t>
    </rPh>
    <rPh sb="55" eb="56">
      <t>コト</t>
    </rPh>
    <rPh sb="62" eb="64">
      <t>セツヤク</t>
    </rPh>
    <phoneticPr fontId="2"/>
  </si>
  <si>
    <t>Sunshine Web page：</t>
    <phoneticPr fontId="2"/>
  </si>
  <si>
    <r>
      <t>Link to ”</t>
    </r>
    <r>
      <rPr>
        <u/>
        <sz val="11"/>
        <color theme="10"/>
        <rFont val="ＭＳ Ｐゴシック"/>
        <family val="2"/>
        <charset val="128"/>
      </rPr>
      <t>生成多項式と</t>
    </r>
    <r>
      <rPr>
        <u/>
        <sz val="11"/>
        <color theme="10"/>
        <rFont val="Tahoma"/>
        <family val="2"/>
      </rPr>
      <t>Look up table</t>
    </r>
    <r>
      <rPr>
        <u/>
        <sz val="11"/>
        <color theme="10"/>
        <rFont val="ＭＳ Ｐゴシック"/>
        <family val="2"/>
        <charset val="128"/>
      </rPr>
      <t>について：</t>
    </r>
    <r>
      <rPr>
        <u/>
        <sz val="11"/>
        <color theme="10"/>
        <rFont val="Tahoma"/>
        <family val="2"/>
      </rPr>
      <t>”</t>
    </r>
    <phoneticPr fontId="2"/>
  </si>
  <si>
    <t>コンパイル方法：</t>
    <rPh sb="5" eb="7">
      <t>ホウホウ</t>
    </rPh>
    <phoneticPr fontId="2"/>
  </si>
  <si>
    <t>事前にC#コンパイルが必要となる。コンパイルについては下記の【コード例】 - コンパイル方法を参照の事。</t>
    <rPh sb="0" eb="2">
      <t>ジゼン</t>
    </rPh>
    <rPh sb="11" eb="13">
      <t>ヒツヨウ</t>
    </rPh>
    <rPh sb="27" eb="29">
      <t>カキ</t>
    </rPh>
    <rPh sb="34" eb="35">
      <t>レイ</t>
    </rPh>
    <rPh sb="47" eb="49">
      <t>サンショウ</t>
    </rPh>
    <rPh sb="50" eb="51">
      <t>コト</t>
    </rPh>
    <phoneticPr fontId="2"/>
  </si>
  <si>
    <t>コマンドプロンプト入力：</t>
    <rPh sb="9" eb="11">
      <t>ニュウリョク</t>
    </rPh>
    <phoneticPr fontId="2"/>
  </si>
  <si>
    <t>コンパイルが成功すれば同じフォルダに*.csファイルと同じ名前で*.exeファイルが生成される。</t>
    <rPh sb="6" eb="8">
      <t>セイコウ</t>
    </rPh>
    <rPh sb="11" eb="12">
      <t>オナ</t>
    </rPh>
    <rPh sb="27" eb="28">
      <t>オナ</t>
    </rPh>
    <rPh sb="29" eb="31">
      <t>ナマエ</t>
    </rPh>
    <rPh sb="42" eb="44">
      <t>セイセイ</t>
    </rPh>
    <phoneticPr fontId="2"/>
  </si>
  <si>
    <r>
      <t>240404_CRC16_with_args  (</t>
    </r>
    <r>
      <rPr>
        <sz val="11"/>
        <color rgb="FFFF0000"/>
        <rFont val="ＭＳ Ｐゴシック"/>
        <family val="3"/>
        <charset val="128"/>
      </rPr>
      <t>データ</t>
    </r>
    <r>
      <rPr>
        <sz val="11"/>
        <color theme="1"/>
        <rFont val="Tahoma"/>
        <family val="2"/>
      </rPr>
      <t>)</t>
    </r>
    <phoneticPr fontId="2"/>
  </si>
  <si>
    <r>
      <rPr>
        <sz val="11"/>
        <color theme="1"/>
        <rFont val="ＭＳ Ｐゴシック"/>
        <family val="3"/>
        <charset val="128"/>
      </rPr>
      <t>※赤字の</t>
    </r>
    <r>
      <rPr>
        <sz val="11"/>
        <color theme="1"/>
        <rFont val="ＭＳ Ｐゴシック"/>
        <family val="2"/>
        <charset val="128"/>
      </rPr>
      <t>データ部分の注意事項は下記を参照の事。</t>
    </r>
    <rPh sb="7" eb="9">
      <t>ブブン</t>
    </rPh>
    <rPh sb="10" eb="12">
      <t>チュウイ</t>
    </rPh>
    <rPh sb="12" eb="14">
      <t>ジコウ</t>
    </rPh>
    <rPh sb="15" eb="17">
      <t>カキ</t>
    </rPh>
    <rPh sb="18" eb="20">
      <t>サンショウ</t>
    </rPh>
    <rPh sb="21" eb="22">
      <t>コト</t>
    </rPh>
    <phoneticPr fontId="2"/>
  </si>
  <si>
    <r>
      <rPr>
        <sz val="11"/>
        <color theme="1"/>
        <rFont val="ＭＳ Ｐゴシック"/>
        <family val="2"/>
        <charset val="128"/>
      </rPr>
      <t>・　引数は</t>
    </r>
    <r>
      <rPr>
        <sz val="11"/>
        <color theme="1"/>
        <rFont val="Tahoma"/>
        <family val="2"/>
      </rPr>
      <t>10</t>
    </r>
    <r>
      <rPr>
        <sz val="11"/>
        <color theme="1"/>
        <rFont val="ＭＳ Ｐゴシック"/>
        <family val="2"/>
        <charset val="128"/>
      </rPr>
      <t>進数のデータ（</t>
    </r>
    <r>
      <rPr>
        <sz val="11"/>
        <color theme="1"/>
        <rFont val="Tahoma"/>
        <family val="2"/>
      </rPr>
      <t>16</t>
    </r>
    <r>
      <rPr>
        <sz val="11"/>
        <color theme="1"/>
        <rFont val="ＭＳ Ｐゴシック"/>
        <family val="2"/>
        <charset val="128"/>
      </rPr>
      <t>進数の入力は未対応）。データ数は任意で変えられるので、スペースで区切る。</t>
    </r>
    <rPh sb="2" eb="4">
      <t>ヒキスウ</t>
    </rPh>
    <rPh sb="7" eb="9">
      <t>シンスウ</t>
    </rPh>
    <rPh sb="16" eb="18">
      <t>シンスウ</t>
    </rPh>
    <rPh sb="19" eb="21">
      <t>ニュウリョク</t>
    </rPh>
    <rPh sb="22" eb="25">
      <t>ミタイオウ</t>
    </rPh>
    <rPh sb="30" eb="31">
      <t>スウ</t>
    </rPh>
    <rPh sb="32" eb="34">
      <t>ニンイ</t>
    </rPh>
    <rPh sb="35" eb="36">
      <t>カ</t>
    </rPh>
    <rPh sb="48" eb="50">
      <t>クギ</t>
    </rPh>
    <phoneticPr fontId="2"/>
  </si>
  <si>
    <r>
      <t>240404_CRC8_with_args  (</t>
    </r>
    <r>
      <rPr>
        <sz val="11"/>
        <color rgb="FFFF0000"/>
        <rFont val="ＭＳ Ｐゴシック"/>
        <family val="3"/>
        <charset val="128"/>
      </rPr>
      <t>データ</t>
    </r>
    <r>
      <rPr>
        <sz val="11"/>
        <color theme="1"/>
        <rFont val="Tahoma"/>
        <family val="2"/>
      </rPr>
      <t>)</t>
    </r>
    <phoneticPr fontId="2"/>
  </si>
  <si>
    <r>
      <t>実行ファイル</t>
    </r>
    <r>
      <rPr>
        <b/>
        <u/>
        <sz val="11"/>
        <color theme="1"/>
        <rFont val="ＭＳ Ｐゴシック"/>
        <family val="3"/>
        <charset val="128"/>
      </rPr>
      <t>”240404_CRC8_with_args .exe”</t>
    </r>
    <r>
      <rPr>
        <sz val="11"/>
        <color theme="1"/>
        <rFont val="ＭＳ Ｐゴシック"/>
        <family val="3"/>
        <charset val="128"/>
      </rPr>
      <t>があるフォルダに移動し、フォルダのアドレスバーのパスに</t>
    </r>
    <r>
      <rPr>
        <sz val="11"/>
        <color theme="1"/>
        <rFont val="ＭＳ Ｐゴシック"/>
        <family val="2"/>
        <charset val="128"/>
      </rPr>
      <t>”</t>
    </r>
    <r>
      <rPr>
        <sz val="11"/>
        <color theme="1"/>
        <rFont val="Tahoma"/>
        <family val="2"/>
      </rPr>
      <t>cmd</t>
    </r>
    <r>
      <rPr>
        <sz val="11"/>
        <color theme="1"/>
        <rFont val="ＭＳ Ｐゴシック"/>
        <family val="2"/>
        <charset val="128"/>
      </rPr>
      <t>”</t>
    </r>
    <r>
      <rPr>
        <sz val="11"/>
        <color theme="1"/>
        <rFont val="ＭＳ Ｐゴシック"/>
        <family val="3"/>
        <charset val="128"/>
      </rPr>
      <t>と入力し、エンターを押す。</t>
    </r>
    <rPh sb="0" eb="2">
      <t>ジッコウ</t>
    </rPh>
    <phoneticPr fontId="2"/>
  </si>
  <si>
    <r>
      <t>実行ファイル</t>
    </r>
    <r>
      <rPr>
        <b/>
        <u/>
        <sz val="11"/>
        <color theme="1"/>
        <rFont val="ＭＳ Ｐゴシック"/>
        <family val="3"/>
        <charset val="128"/>
      </rPr>
      <t>”240404_CRC16_with_args .exe”</t>
    </r>
    <r>
      <rPr>
        <sz val="11"/>
        <color theme="1"/>
        <rFont val="ＭＳ Ｐゴシック"/>
        <family val="3"/>
        <charset val="128"/>
      </rPr>
      <t>があるフォルダに移動し、フォルダのアドレスバーのパスに</t>
    </r>
    <r>
      <rPr>
        <sz val="11"/>
        <color theme="1"/>
        <rFont val="ＭＳ Ｐゴシック"/>
        <family val="2"/>
        <charset val="128"/>
      </rPr>
      <t>”</t>
    </r>
    <r>
      <rPr>
        <sz val="11"/>
        <color theme="1"/>
        <rFont val="Tahoma"/>
        <family val="2"/>
      </rPr>
      <t>cmd</t>
    </r>
    <r>
      <rPr>
        <sz val="11"/>
        <color theme="1"/>
        <rFont val="ＭＳ Ｐゴシック"/>
        <family val="2"/>
        <charset val="128"/>
      </rPr>
      <t>”</t>
    </r>
    <r>
      <rPr>
        <sz val="11"/>
        <color theme="1"/>
        <rFont val="ＭＳ Ｐゴシック"/>
        <family val="3"/>
        <charset val="128"/>
      </rPr>
      <t>と入力し、エンターを押す。</t>
    </r>
    <rPh sb="0" eb="2">
      <t>ジッコウ</t>
    </rPh>
    <phoneticPr fontId="2"/>
  </si>
  <si>
    <r>
      <t>X</t>
    </r>
    <r>
      <rPr>
        <b/>
        <vertAlign val="superscript"/>
        <sz val="11"/>
        <color rgb="FF006100"/>
        <rFont val="Tahoma"/>
        <family val="2"/>
      </rPr>
      <t>x</t>
    </r>
    <phoneticPr fontId="2"/>
  </si>
  <si>
    <t>の変更はシート”C#_CRC16”、”C#_CRC8”よりも難易度が高いと思われる（ライブラリとしては標準値のみをサポートしている）。</t>
    <rPh sb="30" eb="33">
      <t>ナンイド</t>
    </rPh>
    <rPh sb="34" eb="35">
      <t>タカ</t>
    </rPh>
    <rPh sb="37" eb="38">
      <t>オモ</t>
    </rPh>
    <rPh sb="51" eb="53">
      <t>ヒョウジュン</t>
    </rPh>
    <rPh sb="53" eb="54">
      <t>チ</t>
    </rPh>
    <phoneticPr fontId="2"/>
  </si>
  <si>
    <t>URL：</t>
    <phoneticPr fontId="20"/>
  </si>
  <si>
    <r>
      <t>Spyder</t>
    </r>
    <r>
      <rPr>
        <sz val="11"/>
        <color theme="1"/>
        <rFont val="ＭＳ Ｐゴシック"/>
        <family val="2"/>
        <charset val="128"/>
      </rPr>
      <t>ヘルプ</t>
    </r>
    <r>
      <rPr>
        <sz val="11"/>
        <color theme="1"/>
        <rFont val="Tahoma"/>
        <family val="2"/>
      </rPr>
      <t>URL</t>
    </r>
    <r>
      <rPr>
        <sz val="11"/>
        <color theme="1"/>
        <rFont val="ＭＳ Ｐゴシック"/>
        <family val="2"/>
        <charset val="128"/>
      </rPr>
      <t>：</t>
    </r>
    <phoneticPr fontId="39"/>
  </si>
  <si>
    <t>https://pypi.org/project/pyxcp/</t>
    <phoneticPr fontId="2"/>
  </si>
  <si>
    <t>上記のPageで表示されているコマンド"pip install pyxcp"をコマンドプロンプトで実行するとpyxcp（その時の最新版）がインストールされる。</t>
    <rPh sb="0" eb="2">
      <t>ジョウキ</t>
    </rPh>
    <rPh sb="8" eb="10">
      <t>ヒョウジ</t>
    </rPh>
    <rPh sb="49" eb="51">
      <t>ジッコウ</t>
    </rPh>
    <rPh sb="62" eb="63">
      <t>トキ</t>
    </rPh>
    <rPh sb="64" eb="67">
      <t>サイシンバン</t>
    </rPh>
    <phoneticPr fontId="2"/>
  </si>
  <si>
    <t>pip install pyxcp</t>
    <phoneticPr fontId="2"/>
  </si>
  <si>
    <t>【その他】</t>
    <rPh sb="3" eb="4">
      <t>タ</t>
    </rPh>
    <phoneticPr fontId="2"/>
  </si>
  <si>
    <t>上記の様にpyXCPライブラリではCRC8には対応していない。</t>
    <rPh sb="0" eb="2">
      <t>ジョウキ</t>
    </rPh>
    <rPh sb="3" eb="4">
      <t>ヨウ</t>
    </rPh>
    <rPh sb="23" eb="25">
      <t>タイオウ</t>
    </rPh>
    <phoneticPr fontId="2"/>
  </si>
  <si>
    <t>Tips:</t>
    <phoneticPr fontId="2"/>
  </si>
  <si>
    <t>Look up tableをコード上で使えるようにデータを加工する必要があるが、</t>
    <rPh sb="17" eb="18">
      <t>ジョウ</t>
    </rPh>
    <rPh sb="19" eb="20">
      <t>ツカ</t>
    </rPh>
    <rPh sb="29" eb="31">
      <t>カコウ</t>
    </rPh>
    <rPh sb="33" eb="35">
      <t>ヒツヨウ</t>
    </rPh>
    <phoneticPr fontId="2"/>
  </si>
  <si>
    <t>ExcelにLook up tableをコピーした後にTorow()関数やTocol()関数（と&amp;の文字列の結合）を使うと比較的簡易な方法で素早く対応可能。</t>
    <rPh sb="25" eb="26">
      <t>アト</t>
    </rPh>
    <rPh sb="34" eb="36">
      <t>カンスウ</t>
    </rPh>
    <rPh sb="44" eb="46">
      <t>カンスウ</t>
    </rPh>
    <rPh sb="50" eb="53">
      <t>モジレツ</t>
    </rPh>
    <rPh sb="54" eb="56">
      <t>ケツゴウ</t>
    </rPh>
    <rPh sb="58" eb="59">
      <t>ツカ</t>
    </rPh>
    <rPh sb="61" eb="64">
      <t>ヒカクテキ</t>
    </rPh>
    <rPh sb="64" eb="66">
      <t>カンイ</t>
    </rPh>
    <rPh sb="67" eb="69">
      <t>ホウホウ</t>
    </rPh>
    <rPh sb="70" eb="72">
      <t>スバヤ</t>
    </rPh>
    <rPh sb="73" eb="75">
      <t>タイオウ</t>
    </rPh>
    <rPh sb="75" eb="77">
      <t>カノウ</t>
    </rPh>
    <phoneticPr fontId="2"/>
  </si>
  <si>
    <t>Lookup Table:</t>
  </si>
  <si>
    <t>0x00 0x07 0x0E 0x09 0x1C 0x1B 0x12 0x15 0x38 0x3F 0x36 0x31 0x24 0x23 0x2A 0x2D
0x70 0x77 0x7E 0x79 0x6C 0x6B 0x62 0x65 0x48 0x4F 0x46 0x41 0x54 0x53 0x5A 0x5D
0xE0 0xE7 0xEE 0xE9 0xFC 0xFB 0xF2 0xF5 0xD8 0xDF 0xD6 0xD1 0xC4 0xC3 0xCA 0xCD
0x90 0x97 0x9E 0x99 0x8C 0x8B 0x82 0x85 0xA8 0xAF 0xA6 0xA1 0xB4 0xB3 0xBA 0xBD</t>
    <phoneticPr fontId="2"/>
  </si>
  <si>
    <t>Pythonはインタプリタ言語のため、コンパイルが不要であり、コード変更と確認が直ぐに行えるメリットがある。</t>
    <rPh sb="13" eb="15">
      <t>ゲンゴ</t>
    </rPh>
    <rPh sb="25" eb="27">
      <t>フヨウ</t>
    </rPh>
    <rPh sb="34" eb="36">
      <t>ヘンコウ</t>
    </rPh>
    <rPh sb="37" eb="39">
      <t>カクニン</t>
    </rPh>
    <rPh sb="40" eb="41">
      <t>ス</t>
    </rPh>
    <rPh sb="43" eb="44">
      <t>オコナ</t>
    </rPh>
    <phoneticPr fontId="20"/>
  </si>
  <si>
    <t>PyXCP自体はCRC8には対応していないので注意する(CRC8のPython実装例は下記【その他】を参照)。</t>
    <rPh sb="5" eb="7">
      <t>ジタイ</t>
    </rPh>
    <rPh sb="14" eb="16">
      <t>タイオウ</t>
    </rPh>
    <rPh sb="23" eb="25">
      <t>チュウイ</t>
    </rPh>
    <rPh sb="39" eb="42">
      <t>ジッソウレイ</t>
    </rPh>
    <rPh sb="43" eb="45">
      <t>カキ</t>
    </rPh>
    <rPh sb="51" eb="53">
      <t>サンショウ</t>
    </rPh>
    <phoneticPr fontId="2"/>
  </si>
  <si>
    <t>上記のようにコードを準備したら、"F5"で実行するとCRC計算結果が表示されるようになっている</t>
    <rPh sb="0" eb="2">
      <t>ジョウキ</t>
    </rPh>
    <rPh sb="10" eb="12">
      <t>ジュンビ</t>
    </rPh>
    <rPh sb="21" eb="23">
      <t>ジッコウ</t>
    </rPh>
    <rPh sb="29" eb="33">
      <t>ケイサンケッカ</t>
    </rPh>
    <rPh sb="34" eb="36">
      <t>ヒョウジ</t>
    </rPh>
    <phoneticPr fontId="2"/>
  </si>
  <si>
    <r>
      <t>（</t>
    </r>
    <r>
      <rPr>
        <sz val="11"/>
        <color theme="1"/>
        <rFont val="Tahoma"/>
        <family val="2"/>
        <charset val="128"/>
      </rPr>
      <t>print</t>
    </r>
    <r>
      <rPr>
        <sz val="11"/>
        <color theme="1"/>
        <rFont val="ＭＳ Ｐゴシック"/>
        <family val="3"/>
        <charset val="128"/>
      </rPr>
      <t>の部分で結果をコンソールに出力している）。</t>
    </r>
  </si>
  <si>
    <t>実行環境としては、上記インストールに以下のApplicationが含まれている（と思われる）。インストールが完了したらWindowsスタートからApplication名で検索する。</t>
    <rPh sb="0" eb="4">
      <t>ジッコウカンキョウ</t>
    </rPh>
    <rPh sb="9" eb="11">
      <t>ジョウキ</t>
    </rPh>
    <rPh sb="18" eb="20">
      <t>イカ</t>
    </rPh>
    <rPh sb="33" eb="34">
      <t>フク</t>
    </rPh>
    <rPh sb="41" eb="42">
      <t>オモ</t>
    </rPh>
    <rPh sb="54" eb="56">
      <t>カンリョウ</t>
    </rPh>
    <rPh sb="83" eb="84">
      <t>メイ</t>
    </rPh>
    <rPh sb="85" eb="87">
      <t>ケンサク</t>
    </rPh>
    <phoneticPr fontId="39"/>
  </si>
  <si>
    <t>利用するライブラリは下記の”PyXCP”にあるChecksum.pyである。インストール方法は下記の【インストール】を参考のこと。</t>
    <rPh sb="0" eb="2">
      <t>リヨウ</t>
    </rPh>
    <rPh sb="10" eb="12">
      <t>カキ</t>
    </rPh>
    <phoneticPr fontId="2"/>
  </si>
  <si>
    <r>
      <t>CRC8</t>
    </r>
    <r>
      <rPr>
        <b/>
        <sz val="12"/>
        <color rgb="FF0000FF"/>
        <rFont val="ＭＳ Ｐゴシック"/>
        <family val="2"/>
        <charset val="128"/>
      </rPr>
      <t>を計算するコード（</t>
    </r>
    <r>
      <rPr>
        <b/>
        <sz val="12"/>
        <color rgb="FF0000FF"/>
        <rFont val="Tahoma"/>
        <family val="2"/>
      </rPr>
      <t>CRC Look up table</t>
    </r>
    <r>
      <rPr>
        <b/>
        <sz val="12"/>
        <color rgb="FF0000FF"/>
        <rFont val="ＭＳ Ｐゴシック"/>
        <family val="2"/>
        <charset val="128"/>
      </rPr>
      <t>は固定値）</t>
    </r>
    <rPh sb="5" eb="7">
      <t>ケイサン</t>
    </rPh>
    <rPh sb="31" eb="34">
      <t>コテイチ</t>
    </rPh>
    <phoneticPr fontId="2"/>
  </si>
  <si>
    <r>
      <t>CRC8 Look up table</t>
    </r>
    <r>
      <rPr>
        <b/>
        <sz val="12"/>
        <color rgb="FF0000FF"/>
        <rFont val="ＭＳ Ｐゴシック"/>
        <family val="2"/>
        <charset val="128"/>
      </rPr>
      <t>を計算するコード</t>
    </r>
    <phoneticPr fontId="2"/>
  </si>
  <si>
    <t>コンパイル方法は上記の（CRC8を計算するコード）と同じ。使用するファイルが異なるだけ。</t>
    <rPh sb="4" eb="6">
      <t>ホウホウ</t>
    </rPh>
    <rPh sb="7" eb="9">
      <t>ジョウキ</t>
    </rPh>
    <rPh sb="25" eb="26">
      <t>オナ</t>
    </rPh>
    <rPh sb="29" eb="31">
      <t>シヨウ</t>
    </rPh>
    <rPh sb="38" eb="39">
      <t>コト</t>
    </rPh>
    <phoneticPr fontId="2"/>
  </si>
  <si>
    <t>使用方法：</t>
    <rPh sb="0" eb="2">
      <t>シヨウ</t>
    </rPh>
    <rPh sb="2" eb="4">
      <t>ホウホウ</t>
    </rPh>
    <phoneticPr fontId="2"/>
  </si>
  <si>
    <t>・　計算結果の確からしさは、計算結果のLook up tableの配列[1]の値で確認できる。</t>
    <rPh sb="2" eb="4">
      <t>ケイサン</t>
    </rPh>
    <rPh sb="4" eb="6">
      <t>ケッカ</t>
    </rPh>
    <rPh sb="7" eb="8">
      <t>タシ</t>
    </rPh>
    <rPh sb="14" eb="18">
      <t>ケイサンケッカ</t>
    </rPh>
    <rPh sb="41" eb="43">
      <t>カクニン</t>
    </rPh>
    <phoneticPr fontId="2"/>
  </si>
  <si>
    <t>　　引数が無い場合、下記のエラーが表示される。</t>
    <rPh sb="2" eb="4">
      <t>ヒキスウ</t>
    </rPh>
    <rPh sb="5" eb="6">
      <t>ナ</t>
    </rPh>
    <rPh sb="7" eb="9">
      <t>バアイ</t>
    </rPh>
    <rPh sb="10" eb="12">
      <t>カキ</t>
    </rPh>
    <rPh sb="17" eb="19">
      <t>ヒョウジ</t>
    </rPh>
    <phoneticPr fontId="2"/>
  </si>
  <si>
    <t>【使い方】</t>
    <phoneticPr fontId="2"/>
  </si>
  <si>
    <r>
      <t>CRC16</t>
    </r>
    <r>
      <rPr>
        <b/>
        <sz val="12"/>
        <color rgb="FF0000FF"/>
        <rFont val="ＭＳ Ｐゴシック"/>
        <family val="2"/>
        <charset val="128"/>
      </rPr>
      <t>を計算するコード（</t>
    </r>
    <r>
      <rPr>
        <b/>
        <sz val="12"/>
        <color rgb="FF0000FF"/>
        <rFont val="Tahoma"/>
        <family val="2"/>
      </rPr>
      <t>CRC Look up table</t>
    </r>
    <r>
      <rPr>
        <b/>
        <sz val="12"/>
        <color rgb="FF0000FF"/>
        <rFont val="ＭＳ Ｐゴシック"/>
        <family val="2"/>
        <charset val="128"/>
      </rPr>
      <t>は固定値）</t>
    </r>
    <rPh sb="6" eb="8">
      <t>ケイサン</t>
    </rPh>
    <rPh sb="32" eb="35">
      <t>コテイチ</t>
    </rPh>
    <phoneticPr fontId="2"/>
  </si>
  <si>
    <r>
      <rPr>
        <sz val="11"/>
        <color theme="1"/>
        <rFont val="ＭＳ Ｐゴシック"/>
        <family val="2"/>
        <charset val="128"/>
      </rPr>
      <t>下記コード例の</t>
    </r>
    <r>
      <rPr>
        <sz val="11"/>
        <color theme="1"/>
        <rFont val="Tahoma"/>
        <family val="2"/>
      </rPr>
      <t>CRC16</t>
    </r>
    <r>
      <rPr>
        <sz val="11"/>
        <color theme="1"/>
        <rFont val="ＭＳ Ｐゴシック"/>
        <family val="2"/>
        <charset val="128"/>
      </rPr>
      <t>の計算コードを実行する方法を説明する。</t>
    </r>
    <rPh sb="0" eb="2">
      <t>カキ</t>
    </rPh>
    <rPh sb="5" eb="6">
      <t>レイ</t>
    </rPh>
    <rPh sb="19" eb="21">
      <t>ジッコウ</t>
    </rPh>
    <rPh sb="23" eb="25">
      <t>ホウホウ</t>
    </rPh>
    <rPh sb="26" eb="28">
      <t>セツメイ</t>
    </rPh>
    <phoneticPr fontId="2"/>
  </si>
  <si>
    <r>
      <rPr>
        <sz val="11"/>
        <color theme="1"/>
        <rFont val="ＭＳ Ｐゴシック"/>
        <family val="2"/>
        <charset val="128"/>
      </rPr>
      <t>下記コード例の</t>
    </r>
    <r>
      <rPr>
        <sz val="11"/>
        <color theme="1"/>
        <rFont val="Tahoma"/>
        <family val="2"/>
      </rPr>
      <t>CRC8</t>
    </r>
    <r>
      <rPr>
        <sz val="11"/>
        <color theme="1"/>
        <rFont val="ＭＳ Ｐゴシック"/>
        <family val="2"/>
        <charset val="128"/>
      </rPr>
      <t>の計算コードを実行する方法を説明する。</t>
    </r>
    <rPh sb="0" eb="2">
      <t>カキ</t>
    </rPh>
    <rPh sb="5" eb="6">
      <t>レイ</t>
    </rPh>
    <rPh sb="18" eb="20">
      <t>ジッコウ</t>
    </rPh>
    <rPh sb="22" eb="24">
      <t>ホウホウ</t>
    </rPh>
    <rPh sb="25" eb="27">
      <t>セツメイ</t>
    </rPh>
    <phoneticPr fontId="2"/>
  </si>
  <si>
    <r>
      <t>CRC16 Look up table</t>
    </r>
    <r>
      <rPr>
        <b/>
        <sz val="12"/>
        <color rgb="FF0000FF"/>
        <rFont val="ＭＳ Ｐゴシック"/>
        <family val="2"/>
        <charset val="128"/>
      </rPr>
      <t>を計算するコード</t>
    </r>
    <phoneticPr fontId="2"/>
  </si>
  <si>
    <r>
      <t>240408_Create_CRC16_Table_main_with_arg.cs</t>
    </r>
    <r>
      <rPr>
        <sz val="11"/>
        <color theme="1"/>
        <rFont val="ＭＳ Ｐゴシック"/>
        <family val="2"/>
        <charset val="128"/>
      </rPr>
      <t>　（添付）</t>
    </r>
    <rPh sb="44" eb="46">
      <t>テンプ</t>
    </rPh>
    <phoneticPr fontId="2"/>
  </si>
  <si>
    <r>
      <t>240408_Create_CRC8_Table_main_with_arg.cs</t>
    </r>
    <r>
      <rPr>
        <sz val="11"/>
        <color theme="1"/>
        <rFont val="ＭＳ Ｐゴシック"/>
        <family val="2"/>
        <charset val="128"/>
      </rPr>
      <t>　（添付）</t>
    </r>
    <rPh sb="43" eb="45">
      <t>テンプ</t>
    </rPh>
    <phoneticPr fontId="2"/>
  </si>
  <si>
    <t>コンパイル方法は上記の（CRC16を計算するコード）と同じ。使用するファイルが異なるだけ。</t>
    <rPh sb="4" eb="6">
      <t>ホウホウ</t>
    </rPh>
    <rPh sb="7" eb="9">
      <t>ジョウキ</t>
    </rPh>
    <rPh sb="26" eb="27">
      <t>オナ</t>
    </rPh>
    <rPh sb="30" eb="32">
      <t>シヨウ</t>
    </rPh>
    <rPh sb="39" eb="40">
      <t>コト</t>
    </rPh>
    <phoneticPr fontId="2"/>
  </si>
  <si>
    <t>　または、下記の”CRC16 Look up tableを計算するコード”結果からもコピー可能。</t>
    <rPh sb="5" eb="7">
      <t>カキ</t>
    </rPh>
    <rPh sb="37" eb="39">
      <t>ケッカ</t>
    </rPh>
    <rPh sb="45" eb="47">
      <t>カノウ</t>
    </rPh>
    <phoneticPr fontId="2"/>
  </si>
  <si>
    <t>　または、下記の”CRC8 Look up tableを計算するコード”結果からもコピー可能。</t>
    <rPh sb="5" eb="7">
      <t>カキ</t>
    </rPh>
    <rPh sb="36" eb="38">
      <t>ケッカ</t>
    </rPh>
    <rPh sb="44" eb="46">
      <t>カノウ</t>
    </rPh>
    <phoneticPr fontId="2"/>
  </si>
  <si>
    <t>CRC8、CRC16に対応し、さらにLook up table自体も計算可能なツールを準備した。</t>
    <rPh sb="11" eb="13">
      <t>タイオウ</t>
    </rPh>
    <rPh sb="31" eb="33">
      <t>ジタイ</t>
    </rPh>
    <rPh sb="34" eb="38">
      <t>ケイサンカノウ</t>
    </rPh>
    <rPh sb="43" eb="45">
      <t>ジュンビ</t>
    </rPh>
    <phoneticPr fontId="2"/>
  </si>
  <si>
    <t>＜実行時の画面＞</t>
    <rPh sb="1" eb="3">
      <t>ジッコウ</t>
    </rPh>
    <rPh sb="3" eb="4">
      <t>ジ</t>
    </rPh>
    <rPh sb="5" eb="7">
      <t>ガメン</t>
    </rPh>
    <phoneticPr fontId="2"/>
  </si>
  <si>
    <r>
      <rPr>
        <sz val="11"/>
        <color theme="1"/>
        <rFont val="ＭＳ Ｐゴシック"/>
        <family val="2"/>
        <charset val="128"/>
      </rPr>
      <t>CANoeとの連携として、</t>
    </r>
    <r>
      <rPr>
        <sz val="11"/>
        <color theme="1"/>
        <rFont val="Tahoma"/>
        <family val="2"/>
        <charset val="128"/>
      </rPr>
      <t>Look up table</t>
    </r>
    <r>
      <rPr>
        <sz val="11"/>
        <color theme="1"/>
        <rFont val="ＭＳ Ｐゴシック"/>
        <family val="2"/>
        <charset val="128"/>
      </rPr>
      <t>出力を</t>
    </r>
    <r>
      <rPr>
        <sz val="11"/>
        <color theme="1"/>
        <rFont val="Tahoma"/>
        <family val="2"/>
      </rPr>
      <t>CAPL</t>
    </r>
    <r>
      <rPr>
        <sz val="11"/>
        <color theme="1"/>
        <rFont val="ＭＳ Ｐゴシック"/>
        <family val="2"/>
        <charset val="128"/>
      </rPr>
      <t>にコピー＆ペーストして使えるようにした（","で区切って出力）。</t>
    </r>
    <rPh sb="7" eb="9">
      <t>レンケイ</t>
    </rPh>
    <rPh sb="57" eb="59">
      <t>クギ</t>
    </rPh>
    <rPh sb="61" eb="63">
      <t>シュツリョク</t>
    </rPh>
    <phoneticPr fontId="2"/>
  </si>
  <si>
    <t>PTC…\Japan_Collaboration\Process\LSE_roll-out\LSE_manual\HiLs_Tools\Reference\CRC_Calculation\Python_CRC_calculator\</t>
    <phoneticPr fontId="2"/>
  </si>
  <si>
    <r>
      <t>CRC_Calculation_GUI_main.py</t>
    </r>
    <r>
      <rPr>
        <sz val="11"/>
        <color theme="1"/>
        <rFont val="ＭＳ Ｐゴシック"/>
        <family val="2"/>
        <charset val="128"/>
      </rPr>
      <t>を実行する。</t>
    </r>
    <phoneticPr fontId="2"/>
  </si>
  <si>
    <t>上記フォルダに入っている全てのファイルをResynchronizeする。</t>
    <rPh sb="0" eb="2">
      <t>ジョウキ</t>
    </rPh>
    <rPh sb="7" eb="8">
      <t>ハイ</t>
    </rPh>
    <rPh sb="12" eb="13">
      <t>スベ</t>
    </rPh>
    <phoneticPr fontId="2"/>
  </si>
  <si>
    <t>pip install customtkinter</t>
    <phoneticPr fontId="2"/>
  </si>
  <si>
    <t>https://pypi.org/project/customtkinter/</t>
    <phoneticPr fontId="2"/>
  </si>
  <si>
    <t>ツール保存先とインストール：</t>
    <rPh sb="3" eb="6">
      <t>ホゾンサキ</t>
    </rPh>
    <phoneticPr fontId="2"/>
  </si>
  <si>
    <t>前述の【ZFのPython環境インストール：】に加えて、</t>
    <rPh sb="0" eb="2">
      <t>ゼンジュツ</t>
    </rPh>
    <rPh sb="24" eb="25">
      <t>クワ</t>
    </rPh>
    <phoneticPr fontId="2"/>
  </si>
  <si>
    <t>使い方：</t>
    <rPh sb="0" eb="1">
      <t>ツカ</t>
    </rPh>
    <rPh sb="2" eb="3">
      <t>カタ</t>
    </rPh>
    <phoneticPr fontId="2"/>
  </si>
  <si>
    <t>・ Initial Value</t>
    <phoneticPr fontId="2"/>
  </si>
  <si>
    <t>・ Final XOR Value</t>
    <phoneticPr fontId="2"/>
  </si>
  <si>
    <r>
      <t>CRC Type</t>
    </r>
    <r>
      <rPr>
        <sz val="11"/>
        <color theme="1"/>
        <rFont val="ＭＳ Ｐゴシック"/>
        <family val="2"/>
        <charset val="128"/>
      </rPr>
      <t>を選択し、下記</t>
    </r>
    <r>
      <rPr>
        <sz val="11"/>
        <color theme="1"/>
        <rFont val="Tahoma"/>
        <family val="2"/>
      </rPr>
      <t>CRC</t>
    </r>
    <r>
      <rPr>
        <sz val="11"/>
        <color theme="1"/>
        <rFont val="ＭＳ Ｐゴシック"/>
        <family val="2"/>
        <charset val="128"/>
      </rPr>
      <t>パラメータを設定する。</t>
    </r>
    <rPh sb="9" eb="11">
      <t>センタク</t>
    </rPh>
    <rPh sb="13" eb="15">
      <t>カキ</t>
    </rPh>
    <rPh sb="24" eb="26">
      <t>セッテイ</t>
    </rPh>
    <phoneticPr fontId="2"/>
  </si>
  <si>
    <r>
      <t>”Input Data”</t>
    </r>
    <r>
      <rPr>
        <sz val="11"/>
        <color theme="1"/>
        <rFont val="ＭＳ Ｐゴシック"/>
        <family val="3"/>
        <charset val="128"/>
      </rPr>
      <t>にHexでデータを入力し（改行、あるいは","でデータを区切る）、</t>
    </r>
    <r>
      <rPr>
        <sz val="11"/>
        <color theme="1"/>
        <rFont val="ＭＳ Ｐゴシック"/>
        <family val="2"/>
        <charset val="128"/>
      </rPr>
      <t>Run calculationボタンを押すと、</t>
    </r>
    <rPh sb="21" eb="23">
      <t>ニュウリョク</t>
    </rPh>
    <rPh sb="25" eb="27">
      <t>カイギョウ</t>
    </rPh>
    <rPh sb="40" eb="42">
      <t>クギ</t>
    </rPh>
    <rPh sb="64" eb="65">
      <t>オ</t>
    </rPh>
    <phoneticPr fontId="2"/>
  </si>
  <si>
    <r>
      <t>”Used look up table”</t>
    </r>
    <r>
      <rPr>
        <sz val="11"/>
        <color theme="1"/>
        <rFont val="ＭＳ Ｐゴシック"/>
        <family val="3"/>
        <charset val="128"/>
      </rPr>
      <t>に使用された</t>
    </r>
    <r>
      <rPr>
        <sz val="11"/>
        <color theme="1"/>
        <rFont val="ＭＳ Ｐゴシック"/>
        <family val="2"/>
        <charset val="128"/>
      </rPr>
      <t>Look up tableが、Calculation resultにCRC値が出力される。</t>
    </r>
    <rPh sb="21" eb="23">
      <t>シヨウ</t>
    </rPh>
    <rPh sb="63" eb="64">
      <t>チ</t>
    </rPh>
    <rPh sb="65" eb="67">
      <t>シュツリョク</t>
    </rPh>
    <phoneticPr fontId="2"/>
  </si>
  <si>
    <t>追加で”customtkinter”という、GUI用のMIT Licenseのライブラリをインストールする必要がある。</t>
    <rPh sb="0" eb="2">
      <t>ツイカ</t>
    </rPh>
    <rPh sb="25" eb="26">
      <t>ヨウ</t>
    </rPh>
    <rPh sb="53" eb="55">
      <t>ヒツヨウ</t>
    </rPh>
    <phoneticPr fontId="2"/>
  </si>
  <si>
    <t>CRC桁よりも大きい部分は含まれない（CRC8ならPolynomial値は1バイト。CRC16ならPolynomial値は2バイト）。</t>
    <rPh sb="35" eb="36">
      <t>チ</t>
    </rPh>
    <phoneticPr fontId="2"/>
  </si>
  <si>
    <t>Polynomial値は生成多項式から計算されるが、具体的な計算は下記のようになっている。</t>
    <rPh sb="10" eb="11">
      <t>チ</t>
    </rPh>
    <rPh sb="12" eb="17">
      <t>セイセイタコウシキ</t>
    </rPh>
    <rPh sb="19" eb="21">
      <t>ケイサン</t>
    </rPh>
    <rPh sb="26" eb="29">
      <t>グタイテキ</t>
    </rPh>
    <rPh sb="30" eb="32">
      <t>ケイサン</t>
    </rPh>
    <rPh sb="33" eb="35">
      <t>カキ</t>
    </rPh>
    <phoneticPr fontId="2"/>
  </si>
  <si>
    <t>これ以降のコード説明のシートでは生成多項式（Polynomial）はSunshine Web pageで生成したLook up tableのかたちで出てくる。</t>
    <rPh sb="2" eb="4">
      <t>イコウ</t>
    </rPh>
    <rPh sb="8" eb="10">
      <t>セツメイ</t>
    </rPh>
    <rPh sb="16" eb="21">
      <t>セイセイタコウシキ</t>
    </rPh>
    <rPh sb="52" eb="54">
      <t>セイセイ</t>
    </rPh>
    <rPh sb="74" eb="75">
      <t>デ</t>
    </rPh>
    <phoneticPr fontId="2"/>
  </si>
  <si>
    <t>その為、以降のシートのコードではLook up tableの配列[1]の値（つまり、XOR結果の余りが1の場合の答え）をPolynomialとして参照、表示している。</t>
    <rPh sb="2" eb="3">
      <t>タメ</t>
    </rPh>
    <rPh sb="4" eb="6">
      <t>イコウ</t>
    </rPh>
    <rPh sb="30" eb="32">
      <t>ハイレツ</t>
    </rPh>
    <rPh sb="36" eb="37">
      <t>アタイ</t>
    </rPh>
    <rPh sb="45" eb="47">
      <t>ケッカ</t>
    </rPh>
    <rPh sb="48" eb="49">
      <t>アマ</t>
    </rPh>
    <rPh sb="53" eb="55">
      <t>バアイ</t>
    </rPh>
    <rPh sb="56" eb="57">
      <t>コタ</t>
    </rPh>
    <rPh sb="73" eb="75">
      <t>サンショウ</t>
    </rPh>
    <rPh sb="76" eb="78">
      <t>ヒョウジ</t>
    </rPh>
    <phoneticPr fontId="2"/>
  </si>
  <si>
    <t>Look up table自体の計算はしていないため、Polynomialに応じてコードのLook up tableを変更する必要がある事に注意する。</t>
    <rPh sb="13" eb="15">
      <t>ジタイ</t>
    </rPh>
    <rPh sb="16" eb="18">
      <t>ケイサン</t>
    </rPh>
    <rPh sb="38" eb="39">
      <t>オウ</t>
    </rPh>
    <rPh sb="59" eb="61">
      <t>ヘンコウ</t>
    </rPh>
    <rPh sb="63" eb="65">
      <t>ヒツヨウ</t>
    </rPh>
    <rPh sb="68" eb="69">
      <t>コト</t>
    </rPh>
    <rPh sb="70" eb="72">
      <t>チュウイ</t>
    </rPh>
    <phoneticPr fontId="2"/>
  </si>
  <si>
    <r>
      <rPr>
        <sz val="11"/>
        <color theme="1"/>
        <rFont val="ＭＳ Ｐゴシック"/>
        <family val="2"/>
        <charset val="128"/>
      </rPr>
      <t>・</t>
    </r>
    <r>
      <rPr>
        <sz val="11"/>
        <color theme="1"/>
        <rFont val="Tahoma"/>
        <family val="2"/>
      </rPr>
      <t xml:space="preserve"> Polynomial</t>
    </r>
    <r>
      <rPr>
        <sz val="11"/>
        <color theme="1"/>
        <rFont val="ＭＳ Ｐゴシック"/>
        <family val="2"/>
        <charset val="128"/>
      </rPr>
      <t>の変更</t>
    </r>
    <rPh sb="13" eb="15">
      <t>ヘンコウ</t>
    </rPh>
    <phoneticPr fontId="2"/>
  </si>
  <si>
    <r>
      <rPr>
        <sz val="11"/>
        <color theme="1"/>
        <rFont val="ＭＳ Ｐゴシック"/>
        <family val="2"/>
        <charset val="128"/>
      </rPr>
      <t>　</t>
    </r>
    <r>
      <rPr>
        <sz val="11"/>
        <color theme="1"/>
        <rFont val="Tahoma"/>
        <family val="2"/>
      </rPr>
      <t>Polynomial</t>
    </r>
    <r>
      <rPr>
        <sz val="11"/>
        <color theme="1"/>
        <rFont val="ＭＳ Ｐゴシック"/>
        <family val="2"/>
        <charset val="128"/>
      </rPr>
      <t>に対するテーブル値は下記</t>
    </r>
    <r>
      <rPr>
        <sz val="11"/>
        <color theme="1"/>
        <rFont val="Tahoma"/>
        <family val="2"/>
      </rPr>
      <t>Sunshine</t>
    </r>
    <r>
      <rPr>
        <sz val="11"/>
        <color theme="1"/>
        <rFont val="ＭＳ Ｐゴシック"/>
        <family val="2"/>
        <charset val="128"/>
      </rPr>
      <t>の</t>
    </r>
    <r>
      <rPr>
        <sz val="11"/>
        <color theme="1"/>
        <rFont val="Tahoma"/>
        <family val="2"/>
      </rPr>
      <t>Web page</t>
    </r>
    <r>
      <rPr>
        <sz val="11"/>
        <color theme="1"/>
        <rFont val="ＭＳ Ｐゴシック"/>
        <family val="2"/>
        <charset val="128"/>
      </rPr>
      <t>の”</t>
    </r>
    <r>
      <rPr>
        <sz val="11"/>
        <color theme="1"/>
        <rFont val="Tahoma"/>
        <family val="2"/>
      </rPr>
      <t>Calculate CRC!”</t>
    </r>
    <rPh sb="12" eb="13">
      <t>タイ</t>
    </rPh>
    <rPh sb="19" eb="20">
      <t>チ</t>
    </rPh>
    <rPh sb="21" eb="23">
      <t>カキ</t>
    </rPh>
    <phoneticPr fontId="2"/>
  </si>
  <si>
    <t>　（Polynomial値を仕様に合わせてCalculate CRCする事に注意）。</t>
    <rPh sb="12" eb="13">
      <t>チ</t>
    </rPh>
    <rPh sb="14" eb="16">
      <t>シヨウ</t>
    </rPh>
    <rPh sb="17" eb="18">
      <t>ア</t>
    </rPh>
    <rPh sb="36" eb="37">
      <t>コト</t>
    </rPh>
    <rPh sb="38" eb="40">
      <t>チュウイ</t>
    </rPh>
    <phoneticPr fontId="2"/>
  </si>
  <si>
    <t>※CRC16を選択し、計算対象のデータを入力し、Polynomial、Initial Value、Final XOR　ValueをCustomizeしてCalculate CRCを実行する。</t>
    <rPh sb="7" eb="9">
      <t>センタク</t>
    </rPh>
    <rPh sb="11" eb="13">
      <t>ケイサン</t>
    </rPh>
    <rPh sb="13" eb="15">
      <t>タイショウ</t>
    </rPh>
    <rPh sb="20" eb="22">
      <t>ニュウリョク</t>
    </rPh>
    <rPh sb="90" eb="92">
      <t>ジッコウ</t>
    </rPh>
    <phoneticPr fontId="2"/>
  </si>
  <si>
    <t>・　引数は生成多項式から作られたPolynomial値を10進数で入力する。</t>
    <rPh sb="2" eb="4">
      <t>ヒキスウ</t>
    </rPh>
    <rPh sb="5" eb="10">
      <t>セイセイタコウシキ</t>
    </rPh>
    <rPh sb="12" eb="13">
      <t>ツク</t>
    </rPh>
    <rPh sb="26" eb="27">
      <t>チ</t>
    </rPh>
    <rPh sb="33" eb="35">
      <t>ニュウリョク</t>
    </rPh>
    <phoneticPr fontId="2"/>
  </si>
  <si>
    <t>・ Polynomialの変更</t>
    <rPh sb="13" eb="15">
      <t>ヘンコウ</t>
    </rPh>
    <phoneticPr fontId="2"/>
  </si>
  <si>
    <t>　Polynomialに対するテーブル値は下記SunshineのWeb pageの”Calculate CRC!”</t>
    <rPh sb="12" eb="13">
      <t>タイ</t>
    </rPh>
    <rPh sb="19" eb="20">
      <t>チ</t>
    </rPh>
    <rPh sb="21" eb="23">
      <t>カキ</t>
    </rPh>
    <phoneticPr fontId="2"/>
  </si>
  <si>
    <t>※CRC8を選択し、計算対象のデータを入力し、Polynomial、Initial Value、Final XOR　ValueをCustomizeしてCalculate CRCを実行する。</t>
    <rPh sb="6" eb="8">
      <t>センタク</t>
    </rPh>
    <rPh sb="10" eb="12">
      <t>ケイサン</t>
    </rPh>
    <rPh sb="12" eb="14">
      <t>タイショウ</t>
    </rPh>
    <rPh sb="19" eb="21">
      <t>ニュウリョク</t>
    </rPh>
    <rPh sb="89" eb="91">
      <t>ジッコウ</t>
    </rPh>
    <phoneticPr fontId="2"/>
  </si>
  <si>
    <t>ただしこのライブラリ自体がXCP通信規格に則ってCRC16用に作成されているため、CRC用パラメータ（Polynomial、Initial Value、Final XOR Value等）</t>
    <rPh sb="10" eb="12">
      <t>ジタイ</t>
    </rPh>
    <rPh sb="16" eb="18">
      <t>ツウシン</t>
    </rPh>
    <rPh sb="18" eb="20">
      <t>キカク</t>
    </rPh>
    <rPh sb="21" eb="22">
      <t>ノット</t>
    </rPh>
    <rPh sb="29" eb="30">
      <t>ヨウ</t>
    </rPh>
    <rPh sb="31" eb="33">
      <t>サクセイ</t>
    </rPh>
    <rPh sb="44" eb="45">
      <t>ヨウ</t>
    </rPh>
    <rPh sb="91" eb="92">
      <t>ナド</t>
    </rPh>
    <phoneticPr fontId="2"/>
  </si>
  <si>
    <t>・ Polynomial Value</t>
  </si>
  <si>
    <t>参考：CRC基礎；技術者試験受験ナビ</t>
    <rPh sb="0" eb="2">
      <t>サンコウ</t>
    </rPh>
    <rPh sb="6" eb="8">
      <t>キソ</t>
    </rPh>
    <rPh sb="9" eb="14">
      <t>ギジュツシャシケン</t>
    </rPh>
    <rPh sb="14" eb="16">
      <t>ジュケン</t>
    </rPh>
    <phoneticPr fontId="21"/>
  </si>
  <si>
    <t>https://www.seplus.jp/dokushuzemi/ec/fe/fenavi/mastering_tech/crc/</t>
    <phoneticPr fontId="21"/>
  </si>
  <si>
    <t>Initial</t>
    <phoneticPr fontId="2"/>
  </si>
  <si>
    <t>Final</t>
    <phoneticPr fontId="2"/>
  </si>
  <si>
    <t>polynomial type;</t>
    <phoneticPr fontId="2"/>
  </si>
  <si>
    <t>0x11D</t>
    <phoneticPr fontId="2"/>
  </si>
  <si>
    <t>D</t>
    <phoneticPr fontId="2"/>
  </si>
  <si>
    <t>F</t>
    <phoneticPr fontId="2"/>
  </si>
  <si>
    <t>0x</t>
    <phoneticPr fontId="2"/>
  </si>
  <si>
    <t>11D</t>
    <phoneticPr fontId="2"/>
  </si>
  <si>
    <t>=</t>
    <phoneticPr fontId="2"/>
  </si>
  <si>
    <t>#</t>
    <phoneticPr fontId="2"/>
  </si>
  <si>
    <t>Byte 9</t>
    <phoneticPr fontId="2"/>
  </si>
  <si>
    <t>Byte 8</t>
    <phoneticPr fontId="2"/>
  </si>
  <si>
    <t>Byte 7</t>
  </si>
  <si>
    <t>Byte 6</t>
  </si>
  <si>
    <t>Byte 5</t>
  </si>
  <si>
    <t>Byte 4</t>
  </si>
  <si>
    <t>Byte 3</t>
  </si>
  <si>
    <t>Byte 2</t>
  </si>
  <si>
    <t>Byte 1</t>
  </si>
  <si>
    <t>HEX</t>
    <phoneticPr fontId="2"/>
  </si>
  <si>
    <t>B</t>
    <phoneticPr fontId="2"/>
  </si>
  <si>
    <t>BIN</t>
    <phoneticPr fontId="2"/>
  </si>
  <si>
    <t>1</t>
  </si>
  <si>
    <t>0</t>
  </si>
  <si>
    <t>Hex</t>
    <phoneticPr fontId="2"/>
  </si>
  <si>
    <t>Dec</t>
    <phoneticPr fontId="2"/>
  </si>
  <si>
    <t>f</t>
    <phoneticPr fontId="2"/>
  </si>
  <si>
    <t>Final XOR</t>
    <phoneticPr fontId="2"/>
  </si>
  <si>
    <t>E</t>
    <phoneticPr fontId="2"/>
  </si>
  <si>
    <r>
      <rPr>
        <b/>
        <u/>
        <sz val="9"/>
        <color theme="1"/>
        <rFont val="ＭＳ Ｐゴシック"/>
        <family val="2"/>
        <charset val="128"/>
      </rPr>
      <t>手計算の例</t>
    </r>
    <r>
      <rPr>
        <b/>
        <u/>
        <sz val="9"/>
        <color theme="1"/>
        <rFont val="ＭＳ ゴシック"/>
        <family val="3"/>
        <charset val="128"/>
      </rPr>
      <t>：</t>
    </r>
    <rPh sb="0" eb="3">
      <t>テケイサン</t>
    </rPh>
    <rPh sb="4" eb="5">
      <t>レイ</t>
    </rPh>
    <phoneticPr fontId="21"/>
  </si>
  <si>
    <t>Link to sheet 'CRC8_(manual_calculation_1)'</t>
    <phoneticPr fontId="2"/>
  </si>
  <si>
    <t>Link to sheet 'CRC8_(manual_calculation_2)'</t>
    <phoneticPr fontId="2"/>
  </si>
  <si>
    <t>XOR Two values by Excel</t>
    <phoneticPr fontId="2"/>
  </si>
  <si>
    <t>END</t>
    <phoneticPr fontId="2"/>
  </si>
  <si>
    <r>
      <t xml:space="preserve">Input / </t>
    </r>
    <r>
      <rPr>
        <sz val="10"/>
        <color theme="1"/>
        <rFont val="ＭＳ Ｐゴシック"/>
        <family val="2"/>
        <charset val="128"/>
      </rPr>
      <t>入力値</t>
    </r>
    <rPh sb="8" eb="10">
      <t>ニュウリョク</t>
    </rPh>
    <rPh sb="10" eb="11">
      <t>チ</t>
    </rPh>
    <phoneticPr fontId="2"/>
  </si>
  <si>
    <r>
      <t xml:space="preserve">”Value A” </t>
    </r>
    <r>
      <rPr>
        <sz val="11"/>
        <color theme="1"/>
        <rFont val="ＭＳ Ｐゴシック"/>
        <family val="2"/>
        <charset val="128"/>
      </rPr>
      <t>と</t>
    </r>
    <r>
      <rPr>
        <sz val="11"/>
        <color theme="1"/>
        <rFont val="Tahoma"/>
        <family val="2"/>
      </rPr>
      <t xml:space="preserve"> ”</t>
    </r>
    <r>
      <rPr>
        <sz val="11"/>
        <color theme="1"/>
        <rFont val="Tahoma"/>
        <family val="2"/>
        <charset val="128"/>
      </rPr>
      <t xml:space="preserve">Value B” </t>
    </r>
    <r>
      <rPr>
        <sz val="11"/>
        <color theme="1"/>
        <rFont val="ＭＳ Ｐゴシック"/>
        <family val="2"/>
        <charset val="128"/>
      </rPr>
      <t>を入力する（</t>
    </r>
    <r>
      <rPr>
        <sz val="11"/>
        <color theme="1"/>
        <rFont val="Tahoma"/>
        <family val="2"/>
      </rPr>
      <t>Length</t>
    </r>
    <r>
      <rPr>
        <sz val="11"/>
        <color theme="1"/>
        <rFont val="ＭＳ Ｐゴシック"/>
        <family val="2"/>
        <charset val="128"/>
      </rPr>
      <t>は</t>
    </r>
    <r>
      <rPr>
        <sz val="11"/>
        <color theme="1"/>
        <rFont val="Tahoma"/>
        <family val="2"/>
      </rPr>
      <t>Value A</t>
    </r>
    <r>
      <rPr>
        <sz val="11"/>
        <color theme="1"/>
        <rFont val="ＭＳ Ｐゴシック"/>
        <family val="2"/>
        <charset val="128"/>
      </rPr>
      <t>と</t>
    </r>
    <r>
      <rPr>
        <sz val="11"/>
        <color theme="1"/>
        <rFont val="Tahoma"/>
        <family val="2"/>
      </rPr>
      <t>Value B</t>
    </r>
    <r>
      <rPr>
        <sz val="11"/>
        <color theme="1"/>
        <rFont val="ＭＳ Ｐゴシック"/>
        <family val="2"/>
        <charset val="128"/>
      </rPr>
      <t>で同じ長さ）。</t>
    </r>
    <rPh sb="23" eb="25">
      <t>ニュウリョク</t>
    </rPh>
    <rPh sb="51" eb="52">
      <t>オナ</t>
    </rPh>
    <rPh sb="53" eb="54">
      <t>ナガ</t>
    </rPh>
    <phoneticPr fontId="2"/>
  </si>
  <si>
    <r>
      <t xml:space="preserve">Output / </t>
    </r>
    <r>
      <rPr>
        <sz val="10"/>
        <color theme="1"/>
        <rFont val="ＭＳ Ｐゴシック"/>
        <family val="2"/>
        <charset val="128"/>
      </rPr>
      <t>出力値</t>
    </r>
    <rPh sb="9" eb="11">
      <t>シュツリョク</t>
    </rPh>
    <rPh sb="11" eb="12">
      <t>チ</t>
    </rPh>
    <phoneticPr fontId="2"/>
  </si>
  <si>
    <r>
      <t xml:space="preserve">”Value A” </t>
    </r>
    <r>
      <rPr>
        <sz val="11"/>
        <color theme="1"/>
        <rFont val="ＭＳ Ｐゴシック"/>
        <family val="2"/>
        <charset val="128"/>
      </rPr>
      <t>と</t>
    </r>
    <r>
      <rPr>
        <sz val="11"/>
        <color theme="1"/>
        <rFont val="Tahoma"/>
        <family val="2"/>
      </rPr>
      <t xml:space="preserve"> ”</t>
    </r>
    <r>
      <rPr>
        <sz val="11"/>
        <color theme="1"/>
        <rFont val="Tahoma"/>
        <family val="2"/>
        <charset val="128"/>
      </rPr>
      <t xml:space="preserve">Value B” </t>
    </r>
    <r>
      <rPr>
        <sz val="11"/>
        <color theme="1"/>
        <rFont val="ＭＳ Ｐゴシック"/>
        <family val="2"/>
        <charset val="128"/>
      </rPr>
      <t>の</t>
    </r>
    <r>
      <rPr>
        <sz val="11"/>
        <color theme="1"/>
        <rFont val="Tahoma"/>
        <family val="2"/>
      </rPr>
      <t>XOR</t>
    </r>
    <r>
      <rPr>
        <sz val="11"/>
        <color theme="1"/>
        <rFont val="ＭＳ Ｐゴシック"/>
        <family val="2"/>
        <charset val="128"/>
      </rPr>
      <t>の結果を出力する。</t>
    </r>
    <rPh sb="27" eb="29">
      <t>ケッカ</t>
    </rPh>
    <rPh sb="30" eb="32">
      <t>シュツリョク</t>
    </rPh>
    <phoneticPr fontId="2"/>
  </si>
  <si>
    <t xml:space="preserve">Length </t>
    <phoneticPr fontId="2"/>
  </si>
  <si>
    <t>Value A</t>
    <phoneticPr fontId="2"/>
  </si>
  <si>
    <t>d589dfffffffffffe1ed56788654467769876543566789876543876654312235</t>
    <phoneticPr fontId="2"/>
  </si>
  <si>
    <t>Char Posi</t>
    <phoneticPr fontId="2"/>
  </si>
  <si>
    <t>Char</t>
    <phoneticPr fontId="2"/>
  </si>
  <si>
    <t>Nible</t>
    <phoneticPr fontId="2"/>
  </si>
  <si>
    <t>Bit</t>
    <phoneticPr fontId="2"/>
  </si>
  <si>
    <t>Value B</t>
    <phoneticPr fontId="2"/>
  </si>
  <si>
    <t>2d5ad09876543566789987654356678765467876567876567876567787655544</t>
    <phoneticPr fontId="2"/>
  </si>
  <si>
    <t>XORed</t>
    <phoneticPr fontId="2"/>
  </si>
  <si>
    <t>XOR Two values by Python</t>
    <phoneticPr fontId="2"/>
  </si>
  <si>
    <r>
      <rPr>
        <sz val="11"/>
        <color theme="1"/>
        <rFont val="ＭＳ Ｐゴシック"/>
        <family val="2"/>
        <charset val="128"/>
      </rPr>
      <t>上記と同じ計算を</t>
    </r>
    <r>
      <rPr>
        <sz val="11"/>
        <color theme="1"/>
        <rFont val="Tahoma"/>
        <family val="2"/>
      </rPr>
      <t>Python</t>
    </r>
    <r>
      <rPr>
        <sz val="11"/>
        <color theme="1"/>
        <rFont val="ＭＳ Ｐゴシック"/>
        <family val="2"/>
        <charset val="128"/>
      </rPr>
      <t>でも実施できるコードを準備した。実行方法を説明する。</t>
    </r>
    <rPh sb="0" eb="2">
      <t>ジョウキ</t>
    </rPh>
    <rPh sb="3" eb="4">
      <t>オナ</t>
    </rPh>
    <rPh sb="5" eb="7">
      <t>ケイサン</t>
    </rPh>
    <rPh sb="16" eb="18">
      <t>ジッシ</t>
    </rPh>
    <rPh sb="25" eb="27">
      <t>ジュンビ</t>
    </rPh>
    <rPh sb="30" eb="32">
      <t>ジッコウ</t>
    </rPh>
    <rPh sb="32" eb="34">
      <t>ホウホウ</t>
    </rPh>
    <rPh sb="35" eb="37">
      <t>セツメイ</t>
    </rPh>
    <phoneticPr fontId="2"/>
  </si>
  <si>
    <t>事前にPython環境が必要となる。Python環境セットアップについては、下記をを参照の事。</t>
  </si>
  <si>
    <r>
      <rPr>
        <u/>
        <sz val="15"/>
        <color theme="10"/>
        <rFont val="ＭＳ Ｐゴシック"/>
        <family val="2"/>
        <charset val="128"/>
      </rPr>
      <t>シート</t>
    </r>
    <r>
      <rPr>
        <u/>
        <sz val="15"/>
        <color theme="10"/>
        <rFont val="Tahoma"/>
        <family val="2"/>
      </rPr>
      <t xml:space="preserve">”Python_CRC” - </t>
    </r>
    <r>
      <rPr>
        <u/>
        <sz val="15"/>
        <color theme="10"/>
        <rFont val="ＭＳ Ｐゴシック"/>
        <family val="2"/>
        <charset val="128"/>
      </rPr>
      <t>【インストール】</t>
    </r>
    <phoneticPr fontId="2"/>
  </si>
  <si>
    <r>
      <t>添付Pythonファイル””を保存し、ファイルがある場所に移動し、フォルダのアドレスバーのパスに</t>
    </r>
    <r>
      <rPr>
        <sz val="11"/>
        <color theme="1"/>
        <rFont val="ＭＳ Ｐゴシック"/>
        <family val="2"/>
        <charset val="128"/>
      </rPr>
      <t>”</t>
    </r>
    <r>
      <rPr>
        <sz val="11"/>
        <color theme="1"/>
        <rFont val="Tahoma"/>
        <family val="2"/>
      </rPr>
      <t>cmd</t>
    </r>
    <r>
      <rPr>
        <sz val="11"/>
        <color theme="1"/>
        <rFont val="ＭＳ Ｐゴシック"/>
        <family val="2"/>
        <charset val="128"/>
      </rPr>
      <t>”</t>
    </r>
    <r>
      <rPr>
        <sz val="11"/>
        <color theme="1"/>
        <rFont val="ＭＳ Ｐゴシック"/>
        <family val="3"/>
        <charset val="128"/>
      </rPr>
      <t>と入力し、エンターを押す。</t>
    </r>
    <rPh sb="0" eb="2">
      <t>テンプ</t>
    </rPh>
    <rPh sb="15" eb="17">
      <t>ホゾン</t>
    </rPh>
    <rPh sb="26" eb="28">
      <t>バショ</t>
    </rPh>
    <phoneticPr fontId="2"/>
  </si>
  <si>
    <t>python 240418_1_XOR_two_values.py</t>
    <phoneticPr fontId="2"/>
  </si>
  <si>
    <t>※python の後にファイル名を続ける。</t>
    <rPh sb="9" eb="10">
      <t>アト</t>
    </rPh>
    <rPh sb="15" eb="16">
      <t>メイ</t>
    </rPh>
    <rPh sb="17" eb="18">
      <t>ツヅ</t>
    </rPh>
    <phoneticPr fontId="2"/>
  </si>
  <si>
    <t>実行方法：</t>
    <rPh sb="0" eb="4">
      <t>ジッコウホウホウ</t>
    </rPh>
    <phoneticPr fontId="2"/>
  </si>
  <si>
    <r>
      <t>”Please input first value.”</t>
    </r>
    <r>
      <rPr>
        <sz val="11"/>
        <color theme="1"/>
        <rFont val="ＭＳ Ｐゴシック"/>
        <family val="2"/>
        <charset val="128"/>
      </rPr>
      <t>と表示されたら</t>
    </r>
    <r>
      <rPr>
        <sz val="11"/>
        <color theme="1"/>
        <rFont val="Tahoma"/>
        <family val="2"/>
      </rPr>
      <t>Value A</t>
    </r>
    <r>
      <rPr>
        <sz val="11"/>
        <color theme="1"/>
        <rFont val="ＭＳ Ｐゴシック"/>
        <family val="2"/>
        <charset val="128"/>
      </rPr>
      <t>を入力し、エンターを押す。</t>
    </r>
    <rPh sb="28" eb="30">
      <t>ヒョウジ</t>
    </rPh>
    <rPh sb="42" eb="44">
      <t>ニュウリョク</t>
    </rPh>
    <rPh sb="51" eb="52">
      <t>オ</t>
    </rPh>
    <phoneticPr fontId="2"/>
  </si>
  <si>
    <r>
      <t>”Please input second value.”</t>
    </r>
    <r>
      <rPr>
        <sz val="11"/>
        <color theme="1"/>
        <rFont val="ＭＳ Ｐゴシック"/>
        <family val="2"/>
        <charset val="128"/>
      </rPr>
      <t>と表示されたら</t>
    </r>
    <r>
      <rPr>
        <sz val="11"/>
        <color theme="1"/>
        <rFont val="Tahoma"/>
        <family val="2"/>
      </rPr>
      <t>Value B</t>
    </r>
    <r>
      <rPr>
        <sz val="11"/>
        <color theme="1"/>
        <rFont val="ＭＳ Ｐゴシック"/>
        <family val="2"/>
        <charset val="128"/>
      </rPr>
      <t>を入力し、エンターを押す。</t>
    </r>
    <rPh sb="29" eb="31">
      <t>ヒョウジ</t>
    </rPh>
    <rPh sb="43" eb="45">
      <t>ニュウリョク</t>
    </rPh>
    <rPh sb="52" eb="53">
      <t>オ</t>
    </rPh>
    <phoneticPr fontId="2"/>
  </si>
  <si>
    <r>
      <t>XOR Value</t>
    </r>
    <r>
      <rPr>
        <sz val="11"/>
        <color theme="1"/>
        <rFont val="ＭＳ Ｐゴシック"/>
        <family val="2"/>
        <charset val="128"/>
      </rPr>
      <t>がリストと結合された</t>
    </r>
    <r>
      <rPr>
        <sz val="11"/>
        <color theme="1"/>
        <rFont val="Tahoma"/>
        <family val="2"/>
      </rPr>
      <t>String</t>
    </r>
    <r>
      <rPr>
        <sz val="11"/>
        <color theme="1"/>
        <rFont val="ＭＳ Ｐゴシック"/>
        <family val="2"/>
        <charset val="128"/>
      </rPr>
      <t>の２つの形式で表示される。</t>
    </r>
    <rPh sb="14" eb="16">
      <t>ケツゴウ</t>
    </rPh>
    <rPh sb="29" eb="31">
      <t>ケイシキ</t>
    </rPh>
    <rPh sb="32" eb="34">
      <t>ヒョウジ</t>
    </rPh>
    <phoneticPr fontId="2"/>
  </si>
  <si>
    <t>【Pythonファイル】</t>
    <phoneticPr fontId="2"/>
  </si>
  <si>
    <t>CRC計算の手計算説明　その１</t>
    <rPh sb="3" eb="5">
      <t>ケイサン</t>
    </rPh>
    <rPh sb="6" eb="9">
      <t>テケイサン</t>
    </rPh>
    <rPh sb="9" eb="11">
      <t>セツメイ</t>
    </rPh>
    <phoneticPr fontId="2"/>
  </si>
  <si>
    <t>CRC計算の手計算説明　その２</t>
    <rPh sb="3" eb="5">
      <t>ケイサン</t>
    </rPh>
    <rPh sb="6" eb="9">
      <t>テケイサン</t>
    </rPh>
    <rPh sb="9" eb="11">
      <t>セツメイ</t>
    </rPh>
    <phoneticPr fontId="2"/>
  </si>
  <si>
    <t>Link to sheet 'XOR_A&amp;B'</t>
    <phoneticPr fontId="2"/>
  </si>
  <si>
    <t>XORの試算（Value AとValue BのXOR）</t>
    <rPh sb="4" eb="6">
      <t>シサン</t>
    </rPh>
    <phoneticPr fontId="2"/>
  </si>
  <si>
    <r>
      <t>Windows Form Application</t>
    </r>
    <r>
      <rPr>
        <b/>
        <sz val="12"/>
        <color rgb="FF0000FF"/>
        <rFont val="ＭＳ Ｐゴシック"/>
        <family val="2"/>
        <charset val="128"/>
      </rPr>
      <t>；</t>
    </r>
    <r>
      <rPr>
        <b/>
        <sz val="12"/>
        <color rgb="FF0000FF"/>
        <rFont val="Tahoma"/>
        <family val="2"/>
      </rPr>
      <t xml:space="preserve"> CRC8 Look up table</t>
    </r>
    <r>
      <rPr>
        <b/>
        <sz val="12"/>
        <color rgb="FF0000FF"/>
        <rFont val="ＭＳ Ｐゴシック"/>
        <family val="2"/>
        <charset val="128"/>
      </rPr>
      <t>と</t>
    </r>
    <r>
      <rPr>
        <b/>
        <sz val="12"/>
        <color rgb="FF0000FF"/>
        <rFont val="Tahoma"/>
        <family val="2"/>
      </rPr>
      <t>Checksum</t>
    </r>
    <r>
      <rPr>
        <b/>
        <sz val="12"/>
        <color rgb="FF0000FF"/>
        <rFont val="ＭＳ Ｐゴシック"/>
        <family val="2"/>
        <charset val="128"/>
      </rPr>
      <t>を計算するコード</t>
    </r>
    <phoneticPr fontId="2"/>
  </si>
  <si>
    <t>CRC8_WinForm_App.cs　（添付）</t>
    <rPh sb="21" eb="23">
      <t>テンプ</t>
    </rPh>
    <phoneticPr fontId="2"/>
  </si>
  <si>
    <r>
      <rPr>
        <sz val="11"/>
        <color theme="1"/>
        <rFont val="Meiryo UI"/>
        <family val="3"/>
        <charset val="128"/>
      </rPr>
      <t>・　</t>
    </r>
    <r>
      <rPr>
        <sz val="11"/>
        <color theme="1"/>
        <rFont val="Tahoma"/>
        <family val="2"/>
      </rPr>
      <t>Polynomial</t>
    </r>
    <r>
      <rPr>
        <sz val="11"/>
        <color theme="1"/>
        <rFont val="ＭＳ Ｐゴシック"/>
        <family val="2"/>
        <charset val="128"/>
      </rPr>
      <t>、</t>
    </r>
    <r>
      <rPr>
        <sz val="11"/>
        <color theme="1"/>
        <rFont val="Tahoma"/>
        <family val="2"/>
      </rPr>
      <t>Initial</t>
    </r>
    <r>
      <rPr>
        <sz val="11"/>
        <color theme="1"/>
        <rFont val="ＭＳ Ｐゴシック"/>
        <family val="2"/>
        <charset val="128"/>
      </rPr>
      <t>、</t>
    </r>
    <r>
      <rPr>
        <sz val="11"/>
        <color theme="1"/>
        <rFont val="Tahoma"/>
        <family val="2"/>
      </rPr>
      <t>Final XOR</t>
    </r>
    <r>
      <rPr>
        <sz val="11"/>
        <color theme="1"/>
        <rFont val="ＭＳ Ｐゴシック"/>
        <family val="2"/>
        <charset val="128"/>
      </rPr>
      <t>、入力データをそれぞれの</t>
    </r>
    <r>
      <rPr>
        <sz val="11"/>
        <color theme="1"/>
        <rFont val="Meiryo UI"/>
        <family val="3"/>
        <charset val="128"/>
      </rPr>
      <t>値を</t>
    </r>
    <r>
      <rPr>
        <sz val="11"/>
        <color theme="1"/>
        <rFont val="Tahoma"/>
        <family val="2"/>
      </rPr>
      <t>16</t>
    </r>
    <r>
      <rPr>
        <sz val="11"/>
        <color theme="1"/>
        <rFont val="Meiryo UI"/>
        <family val="3"/>
        <charset val="128"/>
      </rPr>
      <t>進数で入力する。</t>
    </r>
    <rPh sb="31" eb="33">
      <t>ニュウリョク</t>
    </rPh>
    <rPh sb="42" eb="43">
      <t>チ</t>
    </rPh>
    <rPh sb="49" eb="51">
      <t>ニュウリョク</t>
    </rPh>
    <phoneticPr fontId="2"/>
  </si>
  <si>
    <r>
      <rPr>
        <sz val="11"/>
        <color theme="1"/>
        <rFont val="ＭＳ Ｐゴシック"/>
        <family val="2"/>
        <charset val="128"/>
      </rPr>
      <t>　入力データは、</t>
    </r>
    <r>
      <rPr>
        <sz val="11"/>
        <color theme="1"/>
        <rFont val="Tahoma"/>
        <family val="2"/>
      </rPr>
      <t>","</t>
    </r>
    <r>
      <rPr>
        <sz val="11"/>
        <color theme="1"/>
        <rFont val="ＭＳ Ｐゴシック"/>
        <family val="2"/>
        <charset val="128"/>
      </rPr>
      <t>（コンマ）で区切る。最後のデータの後ろに</t>
    </r>
    <r>
      <rPr>
        <sz val="11"/>
        <color theme="1"/>
        <rFont val="Tahoma"/>
        <family val="2"/>
      </rPr>
      <t>","</t>
    </r>
    <r>
      <rPr>
        <sz val="11"/>
        <color theme="1"/>
        <rFont val="ＭＳ Ｐゴシック"/>
        <family val="2"/>
        <charset val="128"/>
      </rPr>
      <t>は付けない。</t>
    </r>
    <rPh sb="1" eb="3">
      <t>ニュウリョク</t>
    </rPh>
    <rPh sb="17" eb="19">
      <t>クギ</t>
    </rPh>
    <rPh sb="21" eb="23">
      <t>サイゴ</t>
    </rPh>
    <rPh sb="28" eb="29">
      <t>ウシ</t>
    </rPh>
    <rPh sb="35" eb="36">
      <t>ツ</t>
    </rPh>
    <phoneticPr fontId="2"/>
  </si>
  <si>
    <r>
      <rPr>
        <sz val="11"/>
        <color theme="1"/>
        <rFont val="ＭＳ Ｐゴシック"/>
        <family val="2"/>
        <charset val="128"/>
      </rPr>
      <t>・　</t>
    </r>
    <r>
      <rPr>
        <sz val="11"/>
        <color theme="1"/>
        <rFont val="Tahoma"/>
        <family val="2"/>
      </rPr>
      <t>Run</t>
    </r>
    <r>
      <rPr>
        <sz val="11"/>
        <color theme="1"/>
        <rFont val="ＭＳ Ｐゴシック"/>
        <family val="2"/>
        <charset val="128"/>
      </rPr>
      <t>ボタンを押す。</t>
    </r>
    <rPh sb="9" eb="10">
      <t>オ</t>
    </rPh>
    <phoneticPr fontId="2"/>
  </si>
  <si>
    <r>
      <rPr>
        <sz val="11"/>
        <color theme="1"/>
        <rFont val="ＭＳ Ｐゴシック"/>
        <family val="2"/>
        <charset val="128"/>
      </rPr>
      <t>　</t>
    </r>
    <r>
      <rPr>
        <sz val="11"/>
        <color theme="1"/>
        <rFont val="Tahoma"/>
        <family val="2"/>
      </rPr>
      <t>Checksum value</t>
    </r>
    <r>
      <rPr>
        <sz val="11"/>
        <color theme="1"/>
        <rFont val="ＭＳ Ｐゴシック"/>
        <family val="2"/>
        <charset val="128"/>
      </rPr>
      <t>に計算結果の</t>
    </r>
    <r>
      <rPr>
        <sz val="11"/>
        <color theme="1"/>
        <rFont val="Tahoma"/>
        <family val="2"/>
      </rPr>
      <t>CRC Checksum</t>
    </r>
    <r>
      <rPr>
        <sz val="11"/>
        <color theme="1"/>
        <rFont val="ＭＳ Ｐゴシック"/>
        <family val="2"/>
        <charset val="128"/>
      </rPr>
      <t>が出力される。</t>
    </r>
    <rPh sb="16" eb="20">
      <t>ケイサンケッカ</t>
    </rPh>
    <rPh sb="34" eb="36">
      <t>シュツリョク</t>
    </rPh>
    <phoneticPr fontId="2"/>
  </si>
  <si>
    <t>保存先：</t>
    <rPh sb="0" eb="3">
      <t>ホゾンサキ</t>
    </rPh>
    <phoneticPr fontId="2"/>
  </si>
  <si>
    <t>PTC...\Japan_Collaboration\Process\LSE_roll-out\LSE_manual\HiLs_Tools\</t>
    <phoneticPr fontId="2"/>
  </si>
  <si>
    <t>Reference\CRC_Calculation\C_Sharp_CRC_calculator\</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</si>
</sst>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font>
      <sz val="11"/>
      <color theme="1"/>
      <name val="Tahoma"/>
      <family val="2"/>
      <charset val="128"/>
    </font>
    <font>
      <sz val="11"/>
      <color theme="1"/>
      <name val="ＭＳ Ｐゴシック"/>
      <family val="3"/>
      <charset val="128"/>
    </font>
    <font>
      <sz val="6"/>
      <name val="Tahoma"/>
      <family val="2"/>
      <charset val="128"/>
    </font>
    <font>
      <sz val="11"/>
      <color theme="1"/>
      <name val="ＭＳ Ｐゴシック"/>
      <family val="2"/>
      <charset val="128"/>
    </font>
    <font>
      <u/>
      <sz val="11"/>
      <color theme="10"/>
      <name val="Tahoma"/>
      <family val="2"/>
      <charset val="128"/>
    </font>
    <font>
      <sz val="11"/>
      <color theme="1"/>
      <name val="Tahoma"/>
      <family val="2"/>
    </font>
    <font>
      <b/>
      <u/>
      <sz val="11"/>
      <color theme="1"/>
      <name val="ＭＳ Ｐゴシック"/>
      <family val="3"/>
      <charset val="128"/>
    </font>
    <font>
      <sz val="11"/>
      <color rgb="FF000000"/>
      <name val="Calibri"/>
      <family val="2"/>
    </font>
    <font>
      <b/>
      <sz val="15"/>
      <color rgb="FF0000FF"/>
      <name val="ＭＳ Ｐゴシック"/>
      <family val="2"/>
      <charset val="128"/>
    </font>
    <font>
      <b/>
      <sz val="15"/>
      <color rgb="FF0000FF"/>
      <name val="Tahoma"/>
      <family val="2"/>
      <charset val="128"/>
    </font>
    <font>
      <sz val="11"/>
      <color theme="1"/>
      <name val="Tahoma"/>
      <family val="2"/>
      <charset val="128"/>
    </font>
    <font>
      <sz val="11"/>
      <color rgb="FF006100"/>
      <name val="Tahoma"/>
      <family val="2"/>
      <charset val="128"/>
    </font>
    <font>
      <sz val="16"/>
      <color rgb="FF0000FF"/>
      <name val="ＭＳ Ｐゴシック"/>
      <family val="2"/>
      <charset val="128"/>
    </font>
    <font>
      <sz val="16"/>
      <color rgb="FF0000FF"/>
      <name val="Tahoma"/>
      <family val="2"/>
    </font>
    <font>
      <sz val="11"/>
      <color rgb="FFFF0000"/>
      <name val="Tahoma"/>
      <family val="2"/>
    </font>
    <font>
      <b/>
      <u/>
      <sz val="11"/>
      <color theme="1"/>
      <name val="Tahoma"/>
      <family val="2"/>
    </font>
    <font>
      <sz val="11"/>
      <color rgb="FF000000"/>
      <name val="Tahoma"/>
      <family val="2"/>
    </font>
    <font>
      <u/>
      <sz val="11"/>
      <color theme="10"/>
      <name val="Tahoma"/>
      <family val="2"/>
    </font>
    <font>
      <sz val="11"/>
      <color theme="1"/>
      <name val="游ゴシック"/>
      <family val="2"/>
      <scheme val="minor"/>
    </font>
    <font>
      <b/>
      <sz val="11"/>
      <color theme="1"/>
      <name val="游ゴシック"/>
      <family val="3"/>
      <charset val="128"/>
      <scheme val="minor"/>
    </font>
    <font>
      <sz val="6"/>
      <name val="游ゴシック"/>
      <family val="3"/>
      <charset val="128"/>
      <scheme val="minor"/>
    </font>
    <font>
      <sz val="6"/>
      <name val="ＭＳ Ｐゴシック"/>
      <family val="3"/>
      <charset val="128"/>
    </font>
    <font>
      <u/>
      <sz val="11"/>
      <color theme="10"/>
      <name val="游ゴシック"/>
      <family val="2"/>
      <scheme val="minor"/>
    </font>
    <font>
      <sz val="11"/>
      <name val="Yu Gothic"/>
      <family val="2"/>
    </font>
    <font>
      <b/>
      <u/>
      <sz val="9"/>
      <color theme="1"/>
      <name val="Arial"/>
      <family val="2"/>
    </font>
    <font>
      <b/>
      <u/>
      <sz val="9"/>
      <color theme="1"/>
      <name val="ＭＳ ゴシック"/>
      <family val="3"/>
      <charset val="128"/>
    </font>
    <font>
      <b/>
      <u/>
      <sz val="11"/>
      <color theme="1"/>
      <name val="Yu Gothic"/>
      <family val="3"/>
      <charset val="128"/>
    </font>
    <font>
      <b/>
      <sz val="11"/>
      <color theme="1"/>
      <name val="Yu Gothic"/>
      <family val="3"/>
      <charset val="128"/>
    </font>
    <font>
      <sz val="11"/>
      <color theme="1"/>
      <name val="Yu Gothic"/>
      <family val="3"/>
      <charset val="128"/>
    </font>
    <font>
      <sz val="12"/>
      <color rgb="FF0000FF"/>
      <name val="Yu Gothic"/>
      <family val="2"/>
    </font>
    <font>
      <sz val="18"/>
      <color theme="1"/>
      <name val="Yu Gothic"/>
      <family val="3"/>
      <charset val="128"/>
    </font>
    <font>
      <vertAlign val="superscript"/>
      <sz val="18"/>
      <color theme="1"/>
      <name val="Yu Gothic"/>
      <family val="3"/>
      <charset val="128"/>
    </font>
    <font>
      <sz val="18"/>
      <color theme="1"/>
      <name val="游ゴシック"/>
      <family val="3"/>
      <charset val="128"/>
      <scheme val="minor"/>
    </font>
    <font>
      <b/>
      <sz val="11"/>
      <color rgb="FF006100"/>
      <name val="Tahoma"/>
      <family val="2"/>
    </font>
    <font>
      <b/>
      <sz val="11"/>
      <color rgb="FF0000FF"/>
      <name val="Yu Gothic"/>
      <family val="3"/>
      <charset val="128"/>
    </font>
    <font>
      <sz val="11"/>
      <name val="游ゴシック"/>
      <family val="2"/>
      <scheme val="minor"/>
    </font>
    <font>
      <b/>
      <u/>
      <sz val="11"/>
      <color theme="1"/>
      <name val="游ゴシック"/>
      <family val="3"/>
      <charset val="128"/>
      <scheme val="minor"/>
    </font>
    <font>
      <b/>
      <u/>
      <sz val="11"/>
      <name val="游ゴシック"/>
      <family val="3"/>
      <charset val="128"/>
      <scheme val="minor"/>
    </font>
    <font>
      <b/>
      <u/>
      <sz val="11"/>
      <color rgb="FF0000FF"/>
      <name val="游ゴシック"/>
      <family val="3"/>
      <charset val="128"/>
      <scheme val="minor"/>
    </font>
    <font>
      <sz val="6"/>
      <name val="游ゴシック"/>
      <family val="2"/>
      <charset val="128"/>
      <scheme val="minor"/>
    </font>
    <font>
      <b/>
      <u/>
      <sz val="11"/>
      <color theme="1"/>
      <name val="Tahoma"/>
      <family val="2"/>
      <charset val="128"/>
    </font>
    <font>
      <b/>
      <u/>
      <sz val="11"/>
      <color theme="1"/>
      <name val="ＭＳ Ｐゴシック"/>
      <family val="2"/>
      <charset val="128"/>
    </font>
    <font>
      <b/>
      <sz val="11"/>
      <color rgb="FF0000FF"/>
      <name val="游ゴシック"/>
      <family val="3"/>
      <charset val="128"/>
      <scheme val="minor"/>
    </font>
    <font>
      <b/>
      <sz val="16"/>
      <color rgb="FF0000FF"/>
      <name val="Tahoma"/>
      <family val="2"/>
    </font>
    <font>
      <u/>
      <sz val="11"/>
      <color theme="10"/>
      <name val="ＭＳ Ｐゴシック"/>
      <family val="2"/>
      <charset val="128"/>
    </font>
    <font>
      <sz val="11"/>
      <color rgb="FFFF0000"/>
      <name val="ＭＳ Ｐゴシック"/>
      <family val="3"/>
      <charset val="128"/>
    </font>
    <font>
      <b/>
      <vertAlign val="superscript"/>
      <sz val="11"/>
      <color rgb="FF006100"/>
      <name val="Tahoma"/>
      <family val="2"/>
    </font>
    <font>
      <sz val="10"/>
      <color theme="1"/>
      <name val="游ゴシック"/>
      <family val="2"/>
      <scheme val="minor"/>
    </font>
    <font>
      <sz val="10"/>
      <color rgb="FF0000FF"/>
      <name val="Yu Gothic"/>
      <family val="2"/>
    </font>
    <font>
      <u/>
      <sz val="10"/>
      <color theme="10"/>
      <name val="Tahoma"/>
      <family val="2"/>
      <charset val="128"/>
    </font>
    <font>
      <sz val="10"/>
      <color theme="1"/>
      <name val="Tahoma"/>
      <family val="2"/>
      <charset val="128"/>
    </font>
    <font>
      <sz val="7"/>
      <color rgb="FF000000"/>
      <name val="Verdana"/>
      <family val="2"/>
    </font>
    <font>
      <b/>
      <sz val="12"/>
      <color rgb="FF0000FF"/>
      <name val="Tahoma"/>
      <family val="2"/>
    </font>
    <font>
      <b/>
      <sz val="12"/>
      <color rgb="FF0000FF"/>
      <name val="ＭＳ Ｐゴシック"/>
      <family val="2"/>
      <charset val="128"/>
    </font>
    <font>
      <sz val="16"/>
      <color rgb="FF0000FF"/>
      <name val="Meiryo UI"/>
      <family val="3"/>
      <charset val="128"/>
    </font>
    <font>
      <sz val="11"/>
      <color theme="1"/>
      <name val="Calibri"/>
      <family val="2"/>
    </font>
    <font>
      <sz val="11"/>
      <color rgb="FFFF0000"/>
      <name val="Tahoma"/>
      <family val="2"/>
      <charset val="128"/>
    </font>
    <font>
      <sz val="11"/>
      <color theme="0"/>
      <name val="Tahoma"/>
      <family val="2"/>
      <charset val="128"/>
    </font>
    <font>
      <sz val="11"/>
      <name val="Tahoma"/>
      <family val="2"/>
      <charset val="128"/>
    </font>
    <font>
      <b/>
      <u/>
      <sz val="9"/>
      <color theme="1"/>
      <name val="ＭＳ Ｐゴシック"/>
      <family val="2"/>
      <charset val="128"/>
    </font>
    <font>
      <b/>
      <u/>
      <sz val="9"/>
      <color theme="1"/>
      <name val="Arial"/>
      <family val="2"/>
      <charset val="128"/>
    </font>
    <font>
      <b/>
      <sz val="11"/>
      <color theme="0"/>
      <name val="Tahoma"/>
      <family val="2"/>
      <charset val="128"/>
    </font>
    <font>
      <sz val="15"/>
      <color rgb="FF0000FF"/>
      <name val="Tahoma"/>
      <family val="2"/>
      <charset val="128"/>
    </font>
    <font>
      <sz val="10"/>
      <color theme="1"/>
      <name val="Tahoma"/>
      <family val="2"/>
    </font>
    <font>
      <sz val="10"/>
      <color theme="1"/>
      <name val="ＭＳ Ｐゴシック"/>
      <family val="2"/>
      <charset val="128"/>
    </font>
    <font>
      <b/>
      <sz val="11"/>
      <color theme="1"/>
      <name val="Tahoma"/>
      <family val="2"/>
    </font>
    <font>
      <sz val="8"/>
      <color theme="1"/>
      <name val="Tahoma"/>
      <family val="2"/>
      <charset val="128"/>
    </font>
    <font>
      <u/>
      <sz val="15"/>
      <color theme="10"/>
      <name val="Tahoma"/>
      <family val="2"/>
      <charset val="128"/>
    </font>
    <font>
      <u/>
      <sz val="15"/>
      <color theme="10"/>
      <name val="ＭＳ Ｐゴシック"/>
      <family val="2"/>
      <charset val="128"/>
    </font>
    <font>
      <u/>
      <sz val="15"/>
      <color theme="10"/>
      <name val="Tahoma"/>
      <family val="2"/>
    </font>
    <font>
      <sz val="12"/>
      <color rgb="FF0000FF"/>
      <name val="Meiryo UI"/>
      <family val="3"/>
      <charset val="128"/>
    </font>
    <font>
      <sz val="11"/>
      <color theme="1"/>
      <name val="Meiryo UI"/>
      <family val="3"/>
      <charset val="128"/>
    </font>
  </fonts>
  <fills count="13">
    <fill>
      <patternFill patternType="none"/>
    </fill>
    <fill>
      <patternFill patternType="gray125"/>
    </fill>
    <fill>
      <patternFill patternType="solid">
        <fgColor rgb="FFC6EFCE"/>
      </patternFill>
    </fill>
    <fill>
      <patternFill patternType="solid">
        <fgColor theme="9" tint="0.79998168889431442"/>
        <bgColor indexed="64"/>
      </patternFill>
    </fill>
    <fill>
      <patternFill patternType="solid">
        <fgColor rgb="FFFFFFCC"/>
        <bgColor indexed="64"/>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0" tint="-0.249977111117893"/>
        <bgColor indexed="64"/>
      </patternFill>
    </fill>
    <fill>
      <patternFill patternType="solid">
        <fgColor rgb="FFFFFF00"/>
        <bgColor indexed="64"/>
      </patternFill>
    </fill>
    <fill>
      <patternFill patternType="solid">
        <fgColor rgb="FFA5A5A5"/>
      </patternFill>
    </fill>
    <fill>
      <patternFill patternType="solid">
        <fgColor theme="4" tint="0.59999389629810485"/>
        <bgColor indexed="64"/>
      </patternFill>
    </fill>
  </fills>
  <borders count="5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medium">
        <color indexed="64"/>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double">
        <color rgb="FF3F3F3F"/>
      </left>
      <right style="double">
        <color rgb="FF3F3F3F"/>
      </right>
      <top/>
      <bottom style="double">
        <color rgb="FF3F3F3F"/>
      </bottom>
      <diagonal/>
    </border>
  </borders>
  <cellStyleXfs count="11">
    <xf numFmtId="0" fontId="0" fillId="0" borderId="0">
      <alignment vertical="center"/>
    </xf>
    <xf numFmtId="0" fontId="4" fillId="0" borderId="0" applyNumberFormat="0" applyFill="0" applyBorder="0" applyAlignment="0" applyProtection="0">
      <alignment vertical="center"/>
    </xf>
    <xf numFmtId="0" fontId="11" fillId="2" borderId="0" applyNumberFormat="0" applyBorder="0" applyAlignment="0" applyProtection="0">
      <alignment vertical="center"/>
    </xf>
    <xf numFmtId="0" fontId="18" fillId="0" borderId="0"/>
    <xf numFmtId="0" fontId="22" fillId="0" borderId="0" applyNumberFormat="0" applyFill="0" applyBorder="0" applyAlignment="0" applyProtection="0"/>
    <xf numFmtId="0" fontId="10" fillId="0" borderId="0">
      <alignment vertical="center"/>
    </xf>
    <xf numFmtId="0" fontId="10" fillId="5" borderId="30" applyNumberFormat="0" applyFont="0" applyAlignment="0" applyProtection="0">
      <alignment vertical="center"/>
    </xf>
    <xf numFmtId="0" fontId="57"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61" fillId="11" borderId="44" applyNumberFormat="0" applyAlignment="0" applyProtection="0">
      <alignment vertical="center"/>
    </xf>
  </cellStyleXfs>
  <cellXfs count="222">
    <xf numFmtId="0" fontId="0" fillId="0" borderId="0" xfId="0">
      <alignment vertical="center"/>
    </xf>
    <xf numFmtId="0" fontId="3" fillId="0" borderId="0" xfId="0" applyFont="1">
      <alignment vertical="center"/>
    </xf>
    <xf numFmtId="0" fontId="4" fillId="0" borderId="0" xfId="1">
      <alignment vertical="center"/>
    </xf>
    <xf numFmtId="0" fontId="6" fillId="0" borderId="0" xfId="0" applyFont="1">
      <alignment vertical="center"/>
    </xf>
    <xf numFmtId="0" fontId="7" fillId="0" borderId="0" xfId="0" applyFont="1">
      <alignment vertical="center"/>
    </xf>
    <xf numFmtId="0" fontId="13" fillId="0" borderId="0" xfId="0" applyFont="1">
      <alignment vertical="center"/>
    </xf>
    <xf numFmtId="0" fontId="5" fillId="0" borderId="0" xfId="0" applyFont="1">
      <alignment vertical="center"/>
    </xf>
    <xf numFmtId="0" fontId="15" fillId="0" borderId="0" xfId="0" applyFont="1">
      <alignment vertical="center"/>
    </xf>
    <xf numFmtId="0" fontId="16" fillId="0" borderId="0" xfId="0" applyFont="1">
      <alignment vertical="center"/>
    </xf>
    <xf numFmtId="0" fontId="17" fillId="0" borderId="0" xfId="1" applyFont="1">
      <alignment vertical="center"/>
    </xf>
    <xf numFmtId="0" fontId="0" fillId="0" borderId="0" xfId="0" applyFont="1">
      <alignment vertical="center"/>
    </xf>
    <xf numFmtId="0" fontId="5" fillId="3" borderId="2" xfId="0" applyFont="1" applyFill="1" applyBorder="1">
      <alignment vertical="center"/>
    </xf>
    <xf numFmtId="0" fontId="5" fillId="3" borderId="3" xfId="0" applyFont="1" applyFill="1" applyBorder="1">
      <alignment vertical="center"/>
    </xf>
    <xf numFmtId="0" fontId="0" fillId="3" borderId="4" xfId="0" applyFill="1" applyBorder="1">
      <alignment vertical="center"/>
    </xf>
    <xf numFmtId="0" fontId="5" fillId="3" borderId="0" xfId="0" applyFont="1" applyFill="1" applyBorder="1">
      <alignment vertical="center"/>
    </xf>
    <xf numFmtId="0" fontId="5" fillId="3" borderId="5" xfId="0" applyFont="1" applyFill="1" applyBorder="1">
      <alignment vertical="center"/>
    </xf>
    <xf numFmtId="0" fontId="0" fillId="3" borderId="6" xfId="0" applyFill="1" applyBorder="1">
      <alignment vertical="center"/>
    </xf>
    <xf numFmtId="0" fontId="5" fillId="3" borderId="7" xfId="0" applyFont="1" applyFill="1" applyBorder="1">
      <alignment vertical="center"/>
    </xf>
    <xf numFmtId="0" fontId="5" fillId="3" borderId="8" xfId="0" applyFont="1" applyFill="1" applyBorder="1">
      <alignment vertical="center"/>
    </xf>
    <xf numFmtId="0" fontId="0" fillId="3" borderId="2" xfId="0" applyFill="1" applyBorder="1">
      <alignment vertical="center"/>
    </xf>
    <xf numFmtId="0" fontId="0" fillId="3" borderId="3" xfId="0" applyFill="1" applyBorder="1">
      <alignment vertical="center"/>
    </xf>
    <xf numFmtId="0" fontId="0" fillId="3" borderId="0" xfId="0" applyFill="1" applyBorder="1">
      <alignment vertical="center"/>
    </xf>
    <xf numFmtId="0" fontId="0" fillId="3" borderId="5" xfId="0" applyFill="1" applyBorder="1">
      <alignment vertical="center"/>
    </xf>
    <xf numFmtId="0" fontId="0" fillId="3" borderId="7" xfId="0" applyFill="1" applyBorder="1">
      <alignment vertical="center"/>
    </xf>
    <xf numFmtId="0" fontId="0" fillId="3" borderId="8" xfId="0" applyFill="1" applyBorder="1">
      <alignment vertical="center"/>
    </xf>
    <xf numFmtId="0" fontId="19" fillId="0" borderId="0" xfId="3" applyFont="1"/>
    <xf numFmtId="0" fontId="18" fillId="0" borderId="0" xfId="3"/>
    <xf numFmtId="0" fontId="22" fillId="0" borderId="0" xfId="4"/>
    <xf numFmtId="0" fontId="23" fillId="0" borderId="0" xfId="4" applyFont="1"/>
    <xf numFmtId="0" fontId="4" fillId="0" borderId="0" xfId="1" applyAlignment="1"/>
    <xf numFmtId="0" fontId="24" fillId="0" borderId="1" xfId="0" applyFont="1" applyBorder="1">
      <alignment vertical="center"/>
    </xf>
    <xf numFmtId="0" fontId="18" fillId="0" borderId="2" xfId="3" applyBorder="1"/>
    <xf numFmtId="0" fontId="18" fillId="0" borderId="3" xfId="3" applyBorder="1"/>
    <xf numFmtId="0" fontId="22" fillId="0" borderId="4" xfId="4" applyBorder="1"/>
    <xf numFmtId="0" fontId="18" fillId="0" borderId="5" xfId="3" applyBorder="1"/>
    <xf numFmtId="0" fontId="4" fillId="0" borderId="0" xfId="1" applyBorder="1" applyAlignment="1"/>
    <xf numFmtId="0" fontId="22" fillId="0" borderId="6" xfId="4" applyBorder="1"/>
    <xf numFmtId="0" fontId="18" fillId="0" borderId="7" xfId="3" applyBorder="1"/>
    <xf numFmtId="0" fontId="18" fillId="0" borderId="8" xfId="3" applyBorder="1"/>
    <xf numFmtId="0" fontId="29" fillId="0" borderId="1" xfId="3" applyFont="1" applyBorder="1"/>
    <xf numFmtId="0" fontId="18" fillId="0" borderId="4" xfId="3" applyBorder="1"/>
    <xf numFmtId="0" fontId="30" fillId="0" borderId="0" xfId="3" applyFont="1"/>
    <xf numFmtId="0" fontId="30" fillId="0" borderId="0" xfId="3" quotePrefix="1" applyFont="1"/>
    <xf numFmtId="0" fontId="10" fillId="0" borderId="4" xfId="5" applyBorder="1">
      <alignment vertical="center"/>
    </xf>
    <xf numFmtId="0" fontId="10" fillId="0" borderId="0" xfId="5">
      <alignment vertical="center"/>
    </xf>
    <xf numFmtId="0" fontId="10" fillId="0" borderId="9" xfId="5" applyBorder="1" applyAlignment="1">
      <alignment horizontal="center" vertical="center"/>
    </xf>
    <xf numFmtId="0" fontId="10" fillId="0" borderId="13" xfId="5" applyBorder="1" applyAlignment="1">
      <alignment horizontal="center" vertical="center"/>
    </xf>
    <xf numFmtId="0" fontId="10" fillId="0" borderId="14" xfId="5" applyBorder="1" applyAlignment="1">
      <alignment horizontal="center" vertical="center"/>
    </xf>
    <xf numFmtId="0" fontId="34" fillId="0" borderId="0" xfId="4" applyFont="1"/>
    <xf numFmtId="0" fontId="35" fillId="0" borderId="0" xfId="4" applyFont="1"/>
    <xf numFmtId="0" fontId="36" fillId="0" borderId="0" xfId="3" applyFont="1"/>
    <xf numFmtId="0" fontId="37" fillId="0" borderId="0" xfId="4" applyFont="1"/>
    <xf numFmtId="0" fontId="38" fillId="0" borderId="0" xfId="3" applyFont="1"/>
    <xf numFmtId="0" fontId="18" fillId="0" borderId="0" xfId="3" applyAlignment="1">
      <alignment vertical="center"/>
    </xf>
    <xf numFmtId="0" fontId="10" fillId="0" borderId="0" xfId="3" applyFont="1" applyAlignment="1">
      <alignment vertical="center"/>
    </xf>
    <xf numFmtId="0" fontId="3" fillId="0" borderId="0" xfId="3" applyFont="1" applyAlignment="1">
      <alignment vertical="center"/>
    </xf>
    <xf numFmtId="0" fontId="0" fillId="0" borderId="0" xfId="3" applyFont="1" applyAlignment="1">
      <alignment vertical="center"/>
    </xf>
    <xf numFmtId="0" fontId="40" fillId="0" borderId="0" xfId="3" applyFont="1" applyAlignment="1">
      <alignment vertical="center"/>
    </xf>
    <xf numFmtId="0" fontId="42" fillId="0" borderId="0" xfId="3" applyFont="1"/>
    <xf numFmtId="0" fontId="41" fillId="0" borderId="0" xfId="3" applyFont="1" applyAlignment="1">
      <alignment vertical="center"/>
    </xf>
    <xf numFmtId="0" fontId="4" fillId="0" borderId="0" xfId="1" applyAlignment="1">
      <alignment vertical="center"/>
    </xf>
    <xf numFmtId="0" fontId="43" fillId="0" borderId="0" xfId="0" applyFont="1">
      <alignment vertical="center"/>
    </xf>
    <xf numFmtId="0" fontId="26" fillId="0" borderId="1" xfId="3" applyFont="1" applyBorder="1"/>
    <xf numFmtId="0" fontId="26" fillId="0" borderId="4" xfId="3" applyFont="1" applyBorder="1"/>
    <xf numFmtId="0" fontId="18" fillId="0" borderId="0" xfId="3" applyBorder="1"/>
    <xf numFmtId="0" fontId="28" fillId="0" borderId="4" xfId="3" applyFont="1" applyBorder="1"/>
    <xf numFmtId="0" fontId="1" fillId="0" borderId="0" xfId="0" applyFont="1">
      <alignment vertical="center"/>
    </xf>
    <xf numFmtId="0" fontId="1" fillId="3" borderId="0" xfId="0" applyFont="1" applyFill="1" applyBorder="1">
      <alignment vertical="center"/>
    </xf>
    <xf numFmtId="0" fontId="3" fillId="3" borderId="10" xfId="0" applyFont="1" applyFill="1" applyBorder="1">
      <alignment vertical="center"/>
    </xf>
    <xf numFmtId="0" fontId="5" fillId="3" borderId="11" xfId="0" applyFont="1" applyFill="1" applyBorder="1">
      <alignment vertical="center"/>
    </xf>
    <xf numFmtId="0" fontId="0" fillId="3" borderId="12" xfId="0" applyFill="1" applyBorder="1">
      <alignment vertical="center"/>
    </xf>
    <xf numFmtId="0" fontId="5" fillId="3" borderId="12" xfId="0" applyFont="1" applyFill="1" applyBorder="1">
      <alignment vertical="center"/>
    </xf>
    <xf numFmtId="0" fontId="10" fillId="0" borderId="15" xfId="5" applyBorder="1">
      <alignment vertical="center"/>
    </xf>
    <xf numFmtId="0" fontId="10" fillId="0" borderId="16" xfId="5" applyBorder="1">
      <alignment vertical="center"/>
    </xf>
    <xf numFmtId="0" fontId="10" fillId="0" borderId="17" xfId="5" applyBorder="1">
      <alignment vertical="center"/>
    </xf>
    <xf numFmtId="0" fontId="10" fillId="0" borderId="18" xfId="5" applyBorder="1">
      <alignment vertical="center"/>
    </xf>
    <xf numFmtId="0" fontId="10" fillId="0" borderId="22" xfId="5" applyBorder="1">
      <alignment vertical="center"/>
    </xf>
    <xf numFmtId="0" fontId="10" fillId="0" borderId="23" xfId="5" applyBorder="1">
      <alignment vertical="center"/>
    </xf>
    <xf numFmtId="0" fontId="33" fillId="2" borderId="24" xfId="2" applyFont="1" applyBorder="1" applyAlignment="1">
      <alignment horizontal="center" vertical="center"/>
    </xf>
    <xf numFmtId="0" fontId="33" fillId="2" borderId="25" xfId="2" applyFont="1" applyBorder="1" applyAlignment="1">
      <alignment horizontal="center" vertical="center"/>
    </xf>
    <xf numFmtId="0" fontId="33" fillId="2" borderId="26" xfId="2" applyFont="1" applyBorder="1" applyAlignment="1">
      <alignment horizontal="center" vertical="center"/>
    </xf>
    <xf numFmtId="0" fontId="10" fillId="0" borderId="17" xfId="5" quotePrefix="1" applyBorder="1">
      <alignment vertical="center"/>
    </xf>
    <xf numFmtId="0" fontId="10" fillId="4" borderId="19" xfId="5" quotePrefix="1" applyFill="1" applyBorder="1">
      <alignment vertical="center"/>
    </xf>
    <xf numFmtId="0" fontId="10" fillId="4" borderId="20" xfId="5" applyFill="1" applyBorder="1" applyAlignment="1">
      <alignment horizontal="center" vertical="center"/>
    </xf>
    <xf numFmtId="0" fontId="10" fillId="4" borderId="21" xfId="5" applyFill="1" applyBorder="1">
      <alignment vertical="center"/>
    </xf>
    <xf numFmtId="0" fontId="10" fillId="4" borderId="27" xfId="5" applyFill="1" applyBorder="1" applyAlignment="1">
      <alignment horizontal="right" vertical="center"/>
    </xf>
    <xf numFmtId="0" fontId="10" fillId="4" borderId="28" xfId="5" applyFill="1" applyBorder="1" applyAlignment="1">
      <alignment horizontal="center" vertical="center"/>
    </xf>
    <xf numFmtId="0" fontId="10" fillId="4" borderId="29" xfId="5" applyFill="1" applyBorder="1" applyAlignment="1">
      <alignment horizontal="left" vertical="center"/>
    </xf>
    <xf numFmtId="0" fontId="47" fillId="0" borderId="0" xfId="3" applyFont="1"/>
    <xf numFmtId="0" fontId="48" fillId="0" borderId="4" xfId="3" applyFont="1" applyBorder="1"/>
    <xf numFmtId="0" fontId="49" fillId="0" borderId="0" xfId="1" applyFont="1" applyBorder="1" applyAlignment="1"/>
    <xf numFmtId="0" fontId="47" fillId="0" borderId="5" xfId="3" applyFont="1" applyBorder="1"/>
    <xf numFmtId="0" fontId="50" fillId="0" borderId="0" xfId="0" applyFont="1">
      <alignment vertical="center"/>
    </xf>
    <xf numFmtId="0" fontId="51" fillId="0" borderId="0" xfId="0" applyFont="1">
      <alignment vertical="center"/>
    </xf>
    <xf numFmtId="0" fontId="0" fillId="0" borderId="0" xfId="0" applyBorder="1">
      <alignment vertical="center"/>
    </xf>
    <xf numFmtId="0" fontId="18" fillId="0" borderId="1" xfId="3" applyBorder="1"/>
    <xf numFmtId="0" fontId="36" fillId="0" borderId="2" xfId="3" applyFont="1" applyBorder="1"/>
    <xf numFmtId="0" fontId="0" fillId="0" borderId="4" xfId="0" applyBorder="1">
      <alignment vertical="center"/>
    </xf>
    <xf numFmtId="0" fontId="0" fillId="0" borderId="5" xfId="0" applyBorder="1">
      <alignment vertical="center"/>
    </xf>
    <xf numFmtId="0" fontId="0" fillId="0" borderId="6" xfId="0" applyBorder="1">
      <alignment vertical="center"/>
    </xf>
    <xf numFmtId="0" fontId="51" fillId="0" borderId="7" xfId="0" applyFont="1" applyBorder="1">
      <alignment vertical="center"/>
    </xf>
    <xf numFmtId="0" fontId="0" fillId="0" borderId="7" xfId="0" applyBorder="1">
      <alignment vertical="center"/>
    </xf>
    <xf numFmtId="0" fontId="0" fillId="0" borderId="8" xfId="0" applyBorder="1">
      <alignment vertical="center"/>
    </xf>
    <xf numFmtId="0" fontId="52" fillId="0" borderId="0" xfId="0" applyFont="1">
      <alignment vertical="center"/>
    </xf>
    <xf numFmtId="0" fontId="54" fillId="0" borderId="0" xfId="0" applyFont="1">
      <alignment vertical="center"/>
    </xf>
    <xf numFmtId="0" fontId="55" fillId="0" borderId="0" xfId="0" applyFont="1">
      <alignment vertical="center"/>
    </xf>
    <xf numFmtId="0" fontId="0" fillId="0" borderId="0" xfId="0" applyAlignment="1">
      <alignment horizontal="center" vertical="center"/>
    </xf>
    <xf numFmtId="0" fontId="0" fillId="0" borderId="0" xfId="0" applyAlignment="1">
      <alignment horizontal="left" vertical="center"/>
    </xf>
    <xf numFmtId="0" fontId="5" fillId="0" borderId="0" xfId="0" applyFont="1" applyAlignment="1">
      <alignment horizontal="right" vertical="center"/>
    </xf>
    <xf numFmtId="0" fontId="14" fillId="0" borderId="0" xfId="0" applyFont="1" applyAlignment="1">
      <alignment horizontal="center" vertical="center"/>
    </xf>
    <xf numFmtId="0" fontId="56" fillId="0" borderId="0" xfId="0" applyFont="1" applyAlignment="1">
      <alignment horizontal="center" vertical="center"/>
    </xf>
    <xf numFmtId="0" fontId="0" fillId="0" borderId="0" xfId="0" applyAlignment="1">
      <alignment horizontal="right" vertical="center"/>
    </xf>
    <xf numFmtId="0" fontId="56" fillId="0" borderId="0" xfId="0" applyFont="1" applyAlignment="1">
      <alignment horizontal="left" vertical="center"/>
    </xf>
    <xf numFmtId="0" fontId="10" fillId="8" borderId="0" xfId="9" applyAlignment="1">
      <alignment horizontal="center" vertical="center"/>
    </xf>
    <xf numFmtId="0" fontId="10" fillId="7" borderId="24" xfId="8" applyBorder="1" applyAlignment="1">
      <alignment horizontal="center" vertical="center"/>
    </xf>
    <xf numFmtId="0" fontId="10" fillId="7" borderId="25" xfId="8" applyBorder="1" applyAlignment="1">
      <alignment horizontal="center" vertical="center"/>
    </xf>
    <xf numFmtId="0" fontId="10" fillId="7" borderId="26" xfId="8" applyBorder="1" applyAlignment="1">
      <alignment horizontal="center" vertical="center"/>
    </xf>
    <xf numFmtId="0" fontId="57" fillId="6" borderId="24" xfId="7" applyBorder="1" applyAlignment="1">
      <alignment horizontal="center" vertical="center"/>
    </xf>
    <xf numFmtId="0" fontId="57" fillId="6" borderId="25" xfId="7" applyBorder="1" applyAlignment="1">
      <alignment horizontal="center" vertical="center"/>
    </xf>
    <xf numFmtId="0" fontId="57" fillId="6" borderId="26" xfId="7" applyBorder="1" applyAlignment="1">
      <alignment horizontal="center" vertical="center"/>
    </xf>
    <xf numFmtId="0" fontId="0" fillId="10" borderId="34" xfId="0" applyFill="1" applyBorder="1" applyAlignment="1">
      <alignment horizontal="center" vertical="center"/>
    </xf>
    <xf numFmtId="0" fontId="0" fillId="10" borderId="35" xfId="0" applyFill="1" applyBorder="1" applyAlignment="1">
      <alignment horizontal="center" vertical="center"/>
    </xf>
    <xf numFmtId="0" fontId="0" fillId="10" borderId="39" xfId="0" applyFill="1" applyBorder="1" applyAlignment="1">
      <alignment horizontal="center" vertical="center"/>
    </xf>
    <xf numFmtId="0" fontId="0" fillId="10" borderId="40" xfId="0" applyFill="1" applyBorder="1" applyAlignment="1">
      <alignment horizontal="center" vertical="center"/>
    </xf>
    <xf numFmtId="0" fontId="0" fillId="10" borderId="36" xfId="0" applyFill="1" applyBorder="1" applyAlignment="1">
      <alignment horizontal="center" vertical="center"/>
    </xf>
    <xf numFmtId="0" fontId="0" fillId="0" borderId="41" xfId="0" applyBorder="1" applyAlignment="1">
      <alignment horizontal="center" vertical="center"/>
    </xf>
    <xf numFmtId="0" fontId="0" fillId="0" borderId="5" xfId="0" applyBorder="1" applyAlignment="1">
      <alignment horizontal="center" vertical="center"/>
    </xf>
    <xf numFmtId="0" fontId="58" fillId="0" borderId="0" xfId="0" applyFont="1" applyAlignment="1">
      <alignment horizontal="center" vertical="center"/>
    </xf>
    <xf numFmtId="0" fontId="58" fillId="0" borderId="5" xfId="0" applyFont="1" applyBorder="1" applyAlignment="1">
      <alignment horizontal="center" vertical="center"/>
    </xf>
    <xf numFmtId="0" fontId="58" fillId="0" borderId="41" xfId="0" applyFont="1" applyBorder="1" applyAlignment="1">
      <alignment horizontal="center" vertical="center"/>
    </xf>
    <xf numFmtId="0" fontId="10" fillId="7" borderId="42" xfId="8" applyBorder="1" applyAlignment="1">
      <alignment horizontal="center" vertical="center"/>
    </xf>
    <xf numFmtId="0" fontId="10" fillId="8" borderId="5" xfId="9" applyBorder="1" applyAlignment="1">
      <alignment horizontal="center" vertical="center"/>
    </xf>
    <xf numFmtId="0" fontId="10" fillId="8" borderId="0" xfId="9"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5" borderId="30" xfId="6" applyFont="1" applyAlignment="1">
      <alignment horizontal="center" vertical="center"/>
    </xf>
    <xf numFmtId="0" fontId="0" fillId="0" borderId="9" xfId="0" applyBorder="1" applyAlignment="1">
      <alignment horizontal="center" vertical="center"/>
    </xf>
    <xf numFmtId="0" fontId="0" fillId="0" borderId="43" xfId="0" applyBorder="1" applyAlignment="1">
      <alignment horizontal="center" vertical="center"/>
    </xf>
    <xf numFmtId="0" fontId="26" fillId="0" borderId="0" xfId="3" applyFont="1" applyBorder="1"/>
    <xf numFmtId="0" fontId="27" fillId="0" borderId="0" xfId="3" applyFont="1" applyBorder="1"/>
    <xf numFmtId="0" fontId="28" fillId="0" borderId="0" xfId="3" applyFont="1" applyBorder="1"/>
    <xf numFmtId="0" fontId="60" fillId="0" borderId="4" xfId="0" applyFont="1" applyBorder="1">
      <alignment vertical="center"/>
    </xf>
    <xf numFmtId="0" fontId="62" fillId="0" borderId="0" xfId="0" applyFont="1">
      <alignment vertical="center"/>
    </xf>
    <xf numFmtId="0" fontId="65" fillId="0" borderId="0" xfId="0" applyFont="1">
      <alignment vertical="center"/>
    </xf>
    <xf numFmtId="0" fontId="0" fillId="10" borderId="48" xfId="0" applyFill="1" applyBorder="1">
      <alignment vertical="center"/>
    </xf>
    <xf numFmtId="0" fontId="0" fillId="10" borderId="11" xfId="0" applyFill="1" applyBorder="1" applyAlignment="1">
      <alignment horizontal="center" vertical="center"/>
    </xf>
    <xf numFmtId="0" fontId="0" fillId="10" borderId="49" xfId="0" applyFill="1" applyBorder="1" applyAlignment="1">
      <alignment horizontal="center" vertical="center"/>
    </xf>
    <xf numFmtId="0" fontId="0" fillId="10" borderId="48" xfId="0" applyFill="1" applyBorder="1" applyAlignment="1">
      <alignment horizontal="center" vertical="center"/>
    </xf>
    <xf numFmtId="0" fontId="66" fillId="10" borderId="34" xfId="0" applyFont="1" applyFill="1" applyBorder="1" applyAlignment="1">
      <alignment horizontal="center" vertical="center"/>
    </xf>
    <xf numFmtId="0" fontId="66" fillId="10" borderId="35" xfId="0" applyFont="1" applyFill="1" applyBorder="1" applyAlignment="1">
      <alignment horizontal="center" vertical="center"/>
    </xf>
    <xf numFmtId="0" fontId="66" fillId="10" borderId="39" xfId="0" applyFont="1" applyFill="1" applyBorder="1" applyAlignment="1">
      <alignment horizontal="center" vertical="center"/>
    </xf>
    <xf numFmtId="0" fontId="66" fillId="10" borderId="40" xfId="0" applyFont="1" applyFill="1" applyBorder="1" applyAlignment="1">
      <alignment horizontal="center" vertical="center"/>
    </xf>
    <xf numFmtId="0" fontId="66" fillId="10" borderId="36" xfId="0" applyFont="1" applyFill="1" applyBorder="1" applyAlignment="1">
      <alignment horizontal="center" vertical="center"/>
    </xf>
    <xf numFmtId="0" fontId="66" fillId="0" borderId="0" xfId="0" applyFont="1">
      <alignment vertical="center"/>
    </xf>
    <xf numFmtId="0" fontId="2" fillId="5" borderId="30" xfId="6" applyFont="1">
      <alignment vertical="center"/>
    </xf>
    <xf numFmtId="0" fontId="3" fillId="3" borderId="1" xfId="0" applyFont="1" applyFill="1" applyBorder="1">
      <alignment vertical="center"/>
    </xf>
    <xf numFmtId="0" fontId="70" fillId="0" borderId="0" xfId="0" applyFont="1">
      <alignment vertical="center"/>
    </xf>
    <xf numFmtId="0" fontId="0" fillId="0" borderId="0" xfId="0">
      <alignment vertical="center"/>
    </xf>
    <xf numFmtId="0" fontId="4" fillId="0" borderId="10" xfId="1" quotePrefix="1" applyBorder="1">
      <alignment vertical="center"/>
    </xf>
    <xf numFmtId="0" fontId="4" fillId="0" borderId="11" xfId="1" quotePrefix="1" applyBorder="1">
      <alignment vertical="center"/>
    </xf>
    <xf numFmtId="0" fontId="4" fillId="0" borderId="12" xfId="1" quotePrefix="1" applyBorder="1">
      <alignment vertical="center"/>
    </xf>
    <xf numFmtId="0" fontId="4" fillId="0" borderId="10" xfId="1" applyBorder="1">
      <alignment vertical="center"/>
    </xf>
    <xf numFmtId="0" fontId="4" fillId="0" borderId="11" xfId="1" applyBorder="1">
      <alignment vertical="center"/>
    </xf>
    <xf numFmtId="0" fontId="4" fillId="0" borderId="12" xfId="1" applyBorder="1">
      <alignment vertical="center"/>
    </xf>
    <xf numFmtId="0" fontId="51" fillId="0" borderId="0" xfId="0" applyFont="1" applyBorder="1" applyAlignment="1">
      <alignment vertical="center" wrapText="1"/>
    </xf>
    <xf numFmtId="0" fontId="4" fillId="0" borderId="10" xfId="1" quotePrefix="1" applyBorder="1" applyAlignment="1"/>
    <xf numFmtId="0" fontId="4" fillId="0" borderId="11" xfId="1" quotePrefix="1" applyBorder="1" applyAlignment="1"/>
    <xf numFmtId="0" fontId="4" fillId="0" borderId="12" xfId="1" quotePrefix="1" applyBorder="1" applyAlignment="1"/>
    <xf numFmtId="0" fontId="0" fillId="0" borderId="9" xfId="0" applyBorder="1"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vertical="center"/>
    </xf>
    <xf numFmtId="0" fontId="0" fillId="0" borderId="12" xfId="0" applyBorder="1" applyAlignment="1">
      <alignment horizontal="center" vertical="center"/>
    </xf>
    <xf numFmtId="0" fontId="0" fillId="10" borderId="12" xfId="0" applyFill="1" applyBorder="1" applyAlignment="1">
      <alignment horizontal="center" vertical="center"/>
    </xf>
    <xf numFmtId="0" fontId="0" fillId="10" borderId="9" xfId="0" applyFill="1" applyBorder="1" applyAlignment="1">
      <alignment horizontal="center" vertical="center"/>
    </xf>
    <xf numFmtId="0" fontId="0" fillId="0" borderId="10" xfId="0" applyBorder="1" applyAlignment="1">
      <alignment horizontal="center" vertical="center"/>
    </xf>
    <xf numFmtId="0" fontId="0" fillId="10" borderId="16" xfId="0" applyFill="1" applyBorder="1" applyAlignment="1">
      <alignment horizontal="center" vertical="center"/>
    </xf>
    <xf numFmtId="0" fontId="0" fillId="10" borderId="15" xfId="0" applyFill="1" applyBorder="1" applyAlignment="1">
      <alignment horizontal="center" vertical="center"/>
    </xf>
    <xf numFmtId="0" fontId="0" fillId="9" borderId="31" xfId="0" applyFill="1" applyBorder="1" applyAlignment="1">
      <alignment horizontal="center" vertical="center"/>
    </xf>
    <xf numFmtId="0" fontId="0" fillId="9" borderId="32" xfId="0" applyFill="1" applyBorder="1" applyAlignment="1">
      <alignment horizontal="center" vertical="center"/>
    </xf>
    <xf numFmtId="0" fontId="0" fillId="9" borderId="37" xfId="0" applyFill="1" applyBorder="1" applyAlignment="1">
      <alignment horizontal="center" vertical="center"/>
    </xf>
    <xf numFmtId="0" fontId="0" fillId="9" borderId="33" xfId="0" applyFill="1" applyBorder="1" applyAlignment="1">
      <alignment horizontal="center" vertical="center"/>
    </xf>
    <xf numFmtId="0" fontId="0" fillId="10" borderId="10" xfId="0" applyFill="1" applyBorder="1" applyAlignment="1">
      <alignment horizontal="center" vertical="center"/>
    </xf>
    <xf numFmtId="0" fontId="0" fillId="9" borderId="38" xfId="0" applyFill="1" applyBorder="1" applyAlignment="1">
      <alignment horizontal="center" vertical="center"/>
    </xf>
    <xf numFmtId="0" fontId="11" fillId="2" borderId="35" xfId="2" applyBorder="1" applyAlignment="1">
      <alignment horizontal="center" vertical="center"/>
    </xf>
    <xf numFmtId="0" fontId="11" fillId="2" borderId="36" xfId="2" applyBorder="1" applyAlignment="1">
      <alignment horizontal="center" vertical="center"/>
    </xf>
    <xf numFmtId="0" fontId="11" fillId="2" borderId="31" xfId="2" applyBorder="1" applyAlignment="1">
      <alignment horizontal="center" vertical="center"/>
    </xf>
    <xf numFmtId="0" fontId="11" fillId="2" borderId="32" xfId="2" applyBorder="1" applyAlignment="1">
      <alignment horizontal="center" vertical="center"/>
    </xf>
    <xf numFmtId="0" fontId="11" fillId="2" borderId="33" xfId="2" applyBorder="1" applyAlignment="1">
      <alignment horizontal="center" vertical="center"/>
    </xf>
    <xf numFmtId="0" fontId="11" fillId="2" borderId="34" xfId="2" applyBorder="1" applyAlignment="1">
      <alignment horizontal="center" vertical="center"/>
    </xf>
    <xf numFmtId="0" fontId="61" fillId="11" borderId="46" xfId="10" applyBorder="1" applyAlignment="1">
      <alignment horizontal="center" vertical="center"/>
    </xf>
    <xf numFmtId="0" fontId="63" fillId="4" borderId="10" xfId="0" applyFont="1" applyFill="1" applyBorder="1">
      <alignment vertical="center"/>
    </xf>
    <xf numFmtId="0" fontId="63" fillId="4" borderId="11" xfId="0" applyFont="1" applyFill="1" applyBorder="1">
      <alignment vertical="center"/>
    </xf>
    <xf numFmtId="0" fontId="63" fillId="4" borderId="12" xfId="0" applyFont="1" applyFill="1" applyBorder="1">
      <alignment vertical="center"/>
    </xf>
    <xf numFmtId="0" fontId="63" fillId="12" borderId="10" xfId="0" applyFont="1" applyFill="1" applyBorder="1" applyAlignment="1">
      <alignment horizontal="center" vertical="center"/>
    </xf>
    <xf numFmtId="0" fontId="63" fillId="12" borderId="11" xfId="0" applyFont="1" applyFill="1" applyBorder="1" applyAlignment="1">
      <alignment horizontal="center" vertical="center"/>
    </xf>
    <xf numFmtId="0" fontId="63" fillId="12" borderId="12" xfId="0" applyFont="1" applyFill="1" applyBorder="1" applyAlignment="1">
      <alignment horizontal="center" vertical="center"/>
    </xf>
    <xf numFmtId="0" fontId="0" fillId="0" borderId="0" xfId="0">
      <alignment vertical="center"/>
    </xf>
    <xf numFmtId="0" fontId="0" fillId="4" borderId="10" xfId="0" applyFill="1" applyBorder="1">
      <alignment vertical="center"/>
    </xf>
    <xf numFmtId="0" fontId="0" fillId="4" borderId="2" xfId="0" applyFill="1" applyBorder="1">
      <alignment vertical="center"/>
    </xf>
    <xf numFmtId="0" fontId="0" fillId="4" borderId="3" xfId="0" applyFill="1" applyBorder="1">
      <alignment vertical="center"/>
    </xf>
    <xf numFmtId="0" fontId="61" fillId="11" borderId="45" xfId="10" applyBorder="1" applyAlignment="1">
      <alignment horizontal="center" vertical="center"/>
    </xf>
    <xf numFmtId="0" fontId="61" fillId="11" borderId="47" xfId="10" applyBorder="1" applyAlignment="1">
      <alignment horizontal="center" vertical="center"/>
    </xf>
    <xf numFmtId="0" fontId="66" fillId="0" borderId="15" xfId="0" applyFont="1" applyBorder="1" applyAlignment="1">
      <alignment horizontal="center" vertical="center"/>
    </xf>
    <xf numFmtId="0" fontId="66" fillId="0" borderId="9" xfId="0" applyFont="1" applyBorder="1" applyAlignment="1">
      <alignment horizontal="center" vertical="center"/>
    </xf>
    <xf numFmtId="0" fontId="66" fillId="0" borderId="12" xfId="0" applyFont="1" applyBorder="1" applyAlignment="1">
      <alignment horizontal="center" vertical="center"/>
    </xf>
    <xf numFmtId="0" fontId="66" fillId="0" borderId="10" xfId="0" applyFont="1" applyBorder="1" applyAlignment="1">
      <alignment horizontal="center" vertical="center"/>
    </xf>
    <xf numFmtId="0" fontId="66" fillId="0" borderId="16" xfId="0" applyFont="1" applyBorder="1" applyAlignment="1">
      <alignment horizontal="center" vertical="center"/>
    </xf>
    <xf numFmtId="0" fontId="66" fillId="0" borderId="11" xfId="0" applyFont="1" applyBorder="1" applyAlignment="1">
      <alignment horizontal="center" vertical="center"/>
    </xf>
    <xf numFmtId="0" fontId="66" fillId="0" borderId="49" xfId="0" applyFont="1" applyBorder="1" applyAlignment="1">
      <alignment horizontal="center" vertical="center"/>
    </xf>
    <xf numFmtId="0" fontId="0" fillId="4" borderId="11" xfId="0" applyFill="1" applyBorder="1">
      <alignment vertical="center"/>
    </xf>
    <xf numFmtId="0" fontId="0" fillId="4" borderId="12" xfId="0" applyFill="1" applyBorder="1">
      <alignment vertical="center"/>
    </xf>
    <xf numFmtId="0" fontId="61" fillId="11" borderId="50" xfId="10" applyBorder="1" applyAlignment="1">
      <alignment horizontal="center" vertical="center"/>
    </xf>
    <xf numFmtId="0" fontId="61" fillId="11" borderId="44" xfId="10" applyAlignment="1">
      <alignment horizontal="center" vertical="center"/>
    </xf>
    <xf numFmtId="0" fontId="66" fillId="10" borderId="48" xfId="0" applyFont="1" applyFill="1" applyBorder="1" applyAlignment="1">
      <alignment horizontal="center" vertical="center"/>
    </xf>
    <xf numFmtId="0" fontId="66" fillId="10" borderId="11" xfId="0" applyFont="1" applyFill="1" applyBorder="1" applyAlignment="1">
      <alignment horizontal="center" vertical="center"/>
    </xf>
    <xf numFmtId="0" fontId="66" fillId="10" borderId="49" xfId="0" applyFont="1" applyFill="1" applyBorder="1" applyAlignment="1">
      <alignment horizontal="center" vertical="center"/>
    </xf>
    <xf numFmtId="0" fontId="0" fillId="12" borderId="48" xfId="0" applyFill="1" applyBorder="1" applyAlignment="1">
      <alignment horizontal="center" vertical="center"/>
    </xf>
    <xf numFmtId="0" fontId="0" fillId="12" borderId="11" xfId="0" applyFill="1" applyBorder="1" applyAlignment="1">
      <alignment horizontal="center" vertical="center"/>
    </xf>
    <xf numFmtId="0" fontId="0" fillId="12" borderId="49" xfId="0" applyFill="1" applyBorder="1" applyAlignment="1">
      <alignment horizontal="center" vertical="center"/>
    </xf>
    <xf numFmtId="0" fontId="67" fillId="0" borderId="10" xfId="1" applyFont="1" applyBorder="1">
      <alignment vertical="center"/>
    </xf>
    <xf numFmtId="0" fontId="67" fillId="0" borderId="11" xfId="1" applyFont="1" applyBorder="1">
      <alignment vertical="center"/>
    </xf>
    <xf numFmtId="0" fontId="67" fillId="0" borderId="12" xfId="1" applyFont="1" applyBorder="1">
      <alignment vertical="center"/>
    </xf>
  </cellXfs>
  <cellStyles count="11">
    <cellStyle name="40% - アクセント 1" xfId="8" builtinId="31"/>
    <cellStyle name="60% - アクセント 1" xfId="9" builtinId="32"/>
    <cellStyle name="アクセント 1" xfId="7" builtinId="29"/>
    <cellStyle name="チェック セル" xfId="10" builtinId="23"/>
    <cellStyle name="ハイパーリンク" xfId="1" builtinId="8"/>
    <cellStyle name="ハイパーリンク 2" xfId="4" xr:uid="{EF33D342-5904-4973-AED1-48414137296A}"/>
    <cellStyle name="メモ" xfId="6" builtinId="10"/>
    <cellStyle name="標準" xfId="0" builtinId="0"/>
    <cellStyle name="標準 2" xfId="3" xr:uid="{363A644C-1EB6-4D9F-80ED-493E0E5FD77C}"/>
    <cellStyle name="標準 3" xfId="5" xr:uid="{675974CE-8CA9-439F-9ABE-03E91D73D46A}"/>
    <cellStyle name="良い" xfId="2" builtinId="26"/>
  </cellStyles>
  <dxfs count="0"/>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externalLink" Target="externalLinks/externalLink2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sheetMetadata" Target="metadata.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4.png"/><Relationship Id="rId1" Type="http://schemas.openxmlformats.org/officeDocument/2006/relationships/image" Target="../media/image10.png"/><Relationship Id="rId5" Type="http://schemas.openxmlformats.org/officeDocument/2006/relationships/image" Target="../media/image13.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3" Type="http://schemas.openxmlformats.org/officeDocument/2006/relationships/image" Target="../media/image16.png"/><Relationship Id="rId7" Type="http://schemas.openxmlformats.org/officeDocument/2006/relationships/image" Target="../media/image20.png"/><Relationship Id="rId12" Type="http://schemas.openxmlformats.org/officeDocument/2006/relationships/image" Target="../media/image25.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7.png"/></Relationships>
</file>

<file path=xl/drawings/_rels/drawing6.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7.xml.rels><?xml version="1.0" encoding="UTF-8" standalone="yes"?>
<Relationships xmlns="http://schemas.openxmlformats.org/package/2006/relationships"><Relationship Id="rId1" Type="http://schemas.openxmlformats.org/officeDocument/2006/relationships/image" Target="../media/image3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0.emf"/></Relationships>
</file>

<file path=xl/drawings/drawing1.xml><?xml version="1.0" encoding="utf-8"?>
<xdr:wsDr xmlns:xdr="http://schemas.openxmlformats.org/drawingml/2006/spreadsheetDrawing" xmlns:a="http://schemas.openxmlformats.org/drawingml/2006/main">
  <xdr:twoCellAnchor>
    <xdr:from>
      <xdr:col>1</xdr:col>
      <xdr:colOff>419100</xdr:colOff>
      <xdr:row>76</xdr:row>
      <xdr:rowOff>19050</xdr:rowOff>
    </xdr:from>
    <xdr:to>
      <xdr:col>6</xdr:col>
      <xdr:colOff>228600</xdr:colOff>
      <xdr:row>83</xdr:row>
      <xdr:rowOff>7620</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853440" y="16181070"/>
          <a:ext cx="3162300" cy="15887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a:t>Lookup Table:</a:t>
          </a:r>
          <a:br>
            <a:rPr lang="en-US" altLang="ja-JP"/>
          </a:br>
          <a:r>
            <a:rPr lang="en-US" altLang="ja-JP"/>
            <a:t>0x00 0x07 0x0E 0x09 0x1C 0x1B 0x12 0x15 0x38 0x3F 0x36 0x31 0x24 0x23 0x2A 0x2D</a:t>
          </a:r>
          <a:br>
            <a:rPr lang="en-US" altLang="ja-JP"/>
          </a:br>
          <a:r>
            <a:rPr lang="en-US" altLang="ja-JP"/>
            <a:t>0x70 0x77 0x7E 0x79 0x6C 0x6B 0x62 0x65 0x48 0x4F 0x46 0x41 0x54 0x53 0x5A 0x5D</a:t>
          </a:r>
          <a:br>
            <a:rPr lang="en-US" altLang="ja-JP"/>
          </a:br>
          <a:r>
            <a:rPr lang="en-US" altLang="ja-JP"/>
            <a:t>0xE0 0xE7 0xEE 0xE9 0xFC 0xFB 0xF2 0xF5 0xD8 0xDF 0xD6 0xD1 0xC4 0xC3 0xCA 0xCD</a:t>
          </a:r>
          <a:br>
            <a:rPr lang="en-US" altLang="ja-JP"/>
          </a:br>
          <a:r>
            <a:rPr lang="en-US" altLang="ja-JP"/>
            <a:t>0x90 0x97 0x9E 0x99 0x8C 0x8B 0x82 0x85 0xA8 0xAF 0xA6 0xA1 0xB4 0xB3 0xBA 0xBD</a:t>
          </a: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62</xdr:row>
      <xdr:rowOff>102870</xdr:rowOff>
    </xdr:from>
    <xdr:to>
      <xdr:col>14</xdr:col>
      <xdr:colOff>190500</xdr:colOff>
      <xdr:row>157</xdr:row>
      <xdr:rowOff>0</xdr:rowOff>
    </xdr:to>
    <xdr:sp macro="" textlink="">
      <xdr:nvSpPr>
        <xdr:cNvPr id="4" name="テキスト ボックス 3">
          <a:extLst>
            <a:ext uri="{FF2B5EF4-FFF2-40B4-BE49-F238E27FC236}">
              <a16:creationId xmlns:a16="http://schemas.microsoft.com/office/drawing/2014/main" id="{00000000-0008-0000-0200-000004000000}"/>
            </a:ext>
          </a:extLst>
        </xdr:cNvPr>
        <xdr:cNvSpPr txBox="1"/>
      </xdr:nvSpPr>
      <xdr:spPr>
        <a:xfrm>
          <a:off x="868680" y="10709910"/>
          <a:ext cx="8199120" cy="165468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p>
        <a:p>
          <a:r>
            <a:rPr kumimoji="1" lang="en-US" altLang="ja-JP" sz="1100"/>
            <a:t>Reference Web page: </a:t>
          </a:r>
        </a:p>
        <a:p>
          <a:r>
            <a:rPr kumimoji="1" lang="en-US" altLang="ja-JP" sz="1100"/>
            <a:t>URL:http://www.sunshine2k.de/coding/javascript/crc/crc_js.html</a:t>
          </a:r>
        </a:p>
        <a:p>
          <a:r>
            <a:rPr kumimoji="1" lang="en-US" altLang="ja-JP" sz="1100"/>
            <a:t>*/</a:t>
          </a:r>
        </a:p>
        <a:p>
          <a:r>
            <a:rPr kumimoji="1" lang="en-US" altLang="ja-JP" sz="1100"/>
            <a:t>using System;</a:t>
          </a:r>
        </a:p>
        <a:p>
          <a:endParaRPr kumimoji="1" lang="en-US" altLang="ja-JP" sz="1100"/>
        </a:p>
        <a:p>
          <a:r>
            <a:rPr kumimoji="1" lang="en-US" altLang="ja-JP" sz="1100"/>
            <a:t>public class Program</a:t>
          </a:r>
        </a:p>
        <a:p>
          <a:r>
            <a:rPr kumimoji="1" lang="en-US" altLang="ja-JP" sz="1100"/>
            <a:t>{</a:t>
          </a:r>
        </a:p>
        <a:p>
          <a:r>
            <a:rPr kumimoji="1" lang="en-US" altLang="ja-JP" sz="1100"/>
            <a:t>    public static void Main(string[] args)</a:t>
          </a:r>
        </a:p>
        <a:p>
          <a:r>
            <a:rPr kumimoji="1" lang="en-US" altLang="ja-JP" sz="1100"/>
            <a:t>    {</a:t>
          </a:r>
        </a:p>
        <a:p>
          <a:r>
            <a:rPr kumimoji="1" lang="en-US" altLang="ja-JP" sz="1100"/>
            <a:t>        ushort[] Crc16Table = new ushort[]</a:t>
          </a:r>
        </a:p>
        <a:p>
          <a:r>
            <a:rPr kumimoji="1" lang="en-US" altLang="ja-JP" sz="1100"/>
            <a:t>        {</a:t>
          </a:r>
        </a:p>
        <a:p>
          <a:r>
            <a:rPr kumimoji="1" lang="en-US" altLang="ja-JP" sz="1100"/>
            <a:t>            0x0000, 0x1021, 0x2042, 0x3063, 0x4084, 0x50A5, 0x60C6, 0x70E7,</a:t>
          </a:r>
        </a:p>
        <a:p>
          <a:r>
            <a:rPr kumimoji="1" lang="en-US" altLang="ja-JP" sz="1100"/>
            <a:t>            0x8108, 0x9129, 0xA14A, 0xB16B, 0xC18C, 0xD1AD, 0xE1CE, 0xF1EF,</a:t>
          </a:r>
        </a:p>
        <a:p>
          <a:r>
            <a:rPr kumimoji="1" lang="en-US" altLang="ja-JP" sz="1100"/>
            <a:t>            0x1231, 0x0210, 0x3273, 0x2252, 0x52B5, 0x4294, 0x72F7, 0x62D6,</a:t>
          </a:r>
        </a:p>
        <a:p>
          <a:r>
            <a:rPr kumimoji="1" lang="en-US" altLang="ja-JP" sz="1100"/>
            <a:t>            0x9339, 0x8318, 0xB37B, 0xA35A, 0xD3BD, 0xC39C, 0xF3FF, 0xE3DE,</a:t>
          </a:r>
        </a:p>
        <a:p>
          <a:r>
            <a:rPr kumimoji="1" lang="en-US" altLang="ja-JP" sz="1100"/>
            <a:t>            0x2462, 0x3443, 0x0420, 0x1401, 0x64E6, 0x74C7, 0x44A4, 0x5485,</a:t>
          </a:r>
        </a:p>
        <a:p>
          <a:r>
            <a:rPr kumimoji="1" lang="en-US" altLang="ja-JP" sz="1100"/>
            <a:t>            0xA56A, 0xB54B, 0x8528, 0x9509, 0xE5EE, 0xF5CF, 0xC5AC, 0xD58D,</a:t>
          </a:r>
        </a:p>
        <a:p>
          <a:r>
            <a:rPr kumimoji="1" lang="en-US" altLang="ja-JP" sz="1100"/>
            <a:t>            0x3653, 0x2672, 0x1611, 0x0630, 0x76D7, 0x66F6, 0x5695, 0x46B4,</a:t>
          </a:r>
        </a:p>
        <a:p>
          <a:r>
            <a:rPr kumimoji="1" lang="en-US" altLang="ja-JP" sz="1100"/>
            <a:t>            0xB75B, 0xA77A, 0x9719, 0x8738, 0xF7DF, 0xE7FE, 0xD79D, 0xC7BC,</a:t>
          </a:r>
        </a:p>
        <a:p>
          <a:r>
            <a:rPr kumimoji="1" lang="en-US" altLang="ja-JP" sz="1100"/>
            <a:t>            0x48C4, 0x58E5, 0x6886, 0x78A7, 0x0840, 0x1861, 0x2802, 0x3823,</a:t>
          </a:r>
        </a:p>
        <a:p>
          <a:r>
            <a:rPr kumimoji="1" lang="en-US" altLang="ja-JP" sz="1100"/>
            <a:t>            0xC9CC, 0xD9ED, 0xE98E, 0xF9AF, 0x8948, 0x9969, 0xA90A, 0xB92B,</a:t>
          </a:r>
        </a:p>
        <a:p>
          <a:r>
            <a:rPr kumimoji="1" lang="en-US" altLang="ja-JP" sz="1100"/>
            <a:t>            0x5AF5, 0x4AD4, 0x7AB7, 0x6A96, 0x1A71, 0x0A50, 0x3A33, 0x2A12,</a:t>
          </a:r>
        </a:p>
        <a:p>
          <a:r>
            <a:rPr kumimoji="1" lang="en-US" altLang="ja-JP" sz="1100"/>
            <a:t>            0xDBFD, 0xCBDC, 0xFBBF, 0xEB9E, 0x9B79, 0x8B58, 0xBB3B, 0xAB1A,</a:t>
          </a:r>
        </a:p>
        <a:p>
          <a:r>
            <a:rPr kumimoji="1" lang="en-US" altLang="ja-JP" sz="1100"/>
            <a:t>            0x6CA6, 0x7C87, 0x4CE4, 0x5CC5, 0x2C22, 0x3C03, 0x0C60, 0x1C41,</a:t>
          </a:r>
        </a:p>
        <a:p>
          <a:r>
            <a:rPr kumimoji="1" lang="en-US" altLang="ja-JP" sz="1100"/>
            <a:t>            0xEDAE, 0xFD8F, 0xCDEC, 0xDDCD, 0xAD2A, 0xBD0B, 0x8D68, 0x9D49,</a:t>
          </a:r>
        </a:p>
        <a:p>
          <a:r>
            <a:rPr kumimoji="1" lang="en-US" altLang="ja-JP" sz="1100"/>
            <a:t>            0x7E97, 0x6EB6, 0x5ED5, 0x4EF4, 0x3E13, 0x2E32, 0x1E51, 0x0E70,</a:t>
          </a:r>
        </a:p>
        <a:p>
          <a:r>
            <a:rPr kumimoji="1" lang="en-US" altLang="ja-JP" sz="1100"/>
            <a:t>            0xFF9F, 0xEFBE, 0xDFDD, 0xCFFC, 0xBF1B, 0xAF3A, 0x9F59, 0x8F78,</a:t>
          </a:r>
        </a:p>
        <a:p>
          <a:r>
            <a:rPr kumimoji="1" lang="en-US" altLang="ja-JP" sz="1100"/>
            <a:t>            0x9188, 0x81A9, 0xB1CA, 0xA1EB, 0xD10C, 0xC12D, 0xF14E, 0xE16F,</a:t>
          </a:r>
        </a:p>
        <a:p>
          <a:r>
            <a:rPr kumimoji="1" lang="en-US" altLang="ja-JP" sz="1100"/>
            <a:t>            0x1080, 0x00A1, 0x30C2, 0x20E3, 0x5004, 0x4025, 0x7046, 0x6067,</a:t>
          </a:r>
        </a:p>
        <a:p>
          <a:r>
            <a:rPr kumimoji="1" lang="en-US" altLang="ja-JP" sz="1100"/>
            <a:t>            0x83B9, 0x9398, 0xA3FB, 0xB3DA, 0xC33D, 0xD31C, 0xE37F, 0xF35E,</a:t>
          </a:r>
        </a:p>
        <a:p>
          <a:r>
            <a:rPr kumimoji="1" lang="en-US" altLang="ja-JP" sz="1100"/>
            <a:t>            0x02B1, 0x1290, 0x22F3, 0x32D2, 0x4235, 0x5214, 0x6277, 0x7256,</a:t>
          </a:r>
        </a:p>
        <a:p>
          <a:r>
            <a:rPr kumimoji="1" lang="en-US" altLang="ja-JP" sz="1100"/>
            <a:t>            0xB5EA, 0xA5CB, 0x95A8, 0x8589, 0xF56E, 0xE54F, 0xD52C, 0xC50D,</a:t>
          </a:r>
        </a:p>
        <a:p>
          <a:r>
            <a:rPr kumimoji="1" lang="en-US" altLang="ja-JP" sz="1100"/>
            <a:t>            0x34E2, 0x24C3, 0x14A0, 0x0481, 0x7466, 0x6447, 0x5424, 0x4405,</a:t>
          </a:r>
        </a:p>
        <a:p>
          <a:r>
            <a:rPr kumimoji="1" lang="en-US" altLang="ja-JP" sz="1100"/>
            <a:t>            0xA7DB, 0xB7FA, 0x8799, 0x97B8, 0xE75F, 0xF77E, 0xC71D, 0xD73C,</a:t>
          </a:r>
        </a:p>
        <a:p>
          <a:r>
            <a:rPr kumimoji="1" lang="en-US" altLang="ja-JP" sz="1100"/>
            <a:t>            0x26D3, 0x36F2, 0x0691, 0x16B0, 0x6657, 0x7676, 0x4615, 0x5634,</a:t>
          </a:r>
        </a:p>
        <a:p>
          <a:r>
            <a:rPr kumimoji="1" lang="en-US" altLang="ja-JP" sz="1100"/>
            <a:t>            0xD94C, 0xC96D, 0xF90E, 0xE92F, 0x99C8, 0x89E9, 0xB98A, 0xA9AB,</a:t>
          </a:r>
        </a:p>
        <a:p>
          <a:r>
            <a:rPr kumimoji="1" lang="en-US" altLang="ja-JP" sz="1100"/>
            <a:t>            0x5844, 0x4865, 0x7806, 0x6827, 0x18C0, 0x08E1, 0x3882, 0x28A3,</a:t>
          </a:r>
        </a:p>
        <a:p>
          <a:r>
            <a:rPr kumimoji="1" lang="en-US" altLang="ja-JP" sz="1100"/>
            <a:t>            0xCB7D, 0xDB5C, 0xEB3F, 0xFB1E, 0x8BF9, 0x9BD8, 0xABBB, 0xBB9A,</a:t>
          </a:r>
        </a:p>
        <a:p>
          <a:r>
            <a:rPr kumimoji="1" lang="en-US" altLang="ja-JP" sz="1100"/>
            <a:t>            0x4A75, 0x5A54, 0x6A37, 0x7A16, 0x0AF1, 0x1AD0, 0x2AB3, 0x3A92,</a:t>
          </a:r>
        </a:p>
        <a:p>
          <a:r>
            <a:rPr kumimoji="1" lang="en-US" altLang="ja-JP" sz="1100"/>
            <a:t>            0xFD2E, 0xED0F, 0xDD6C, 0xCD4D, 0xBDAA, 0xAD8B, 0x9DE8, 0x8DC9,</a:t>
          </a:r>
        </a:p>
        <a:p>
          <a:r>
            <a:rPr kumimoji="1" lang="en-US" altLang="ja-JP" sz="1100"/>
            <a:t>            0x7C26, 0x6C07, 0x5C64, 0x4C45, 0x3CA2, 0x2C83, 0x1CE0, 0x0CC1,</a:t>
          </a:r>
        </a:p>
        <a:p>
          <a:r>
            <a:rPr kumimoji="1" lang="en-US" altLang="ja-JP" sz="1100"/>
            <a:t>            0xEF1F, 0xFF3E, 0xCF5D, 0xDF7C, 0xAF9B, 0xBFBA, 0x8FD9, 0x9FF8,</a:t>
          </a:r>
        </a:p>
        <a:p>
          <a:r>
            <a:rPr kumimoji="1" lang="en-US" altLang="ja-JP" sz="1100"/>
            <a:t>            0x6E17, 0x7E36, 0x4E55, 0x5E74, 0x2E93, 0x3EB2, 0x0ED1, 0x1EF0</a:t>
          </a:r>
        </a:p>
        <a:p>
          <a:r>
            <a:rPr kumimoji="1" lang="en-US" altLang="ja-JP" sz="1100"/>
            <a:t>        };</a:t>
          </a:r>
        </a:p>
        <a:p>
          <a:endParaRPr kumimoji="1" lang="en-US" altLang="ja-JP" sz="1100"/>
        </a:p>
        <a:p>
          <a:r>
            <a:rPr kumimoji="1" lang="ja-JP" altLang="en-US" sz="1100"/>
            <a:t>　　</a:t>
          </a:r>
          <a:r>
            <a:rPr kumimoji="1" lang="en-US" altLang="ja-JP" sz="1100"/>
            <a:t>if (args.Length == 0)</a:t>
          </a:r>
        </a:p>
        <a:p>
          <a:r>
            <a:rPr kumimoji="1" lang="en-US" altLang="ja-JP" sz="1100"/>
            <a:t>        {</a:t>
          </a:r>
        </a:p>
        <a:p>
          <a:r>
            <a:rPr kumimoji="1" lang="en-US" altLang="ja-JP" sz="1100"/>
            <a:t>            Console.WriteLine("Please provide decimal int data as command-line arguments.");</a:t>
          </a:r>
        </a:p>
        <a:p>
          <a:r>
            <a:rPr kumimoji="1" lang="en-US" altLang="ja-JP" sz="1100"/>
            <a:t>            return;</a:t>
          </a:r>
        </a:p>
        <a:p>
          <a:r>
            <a:rPr kumimoji="1" lang="en-US" altLang="ja-JP" sz="1100"/>
            <a:t>        }</a:t>
          </a:r>
        </a:p>
        <a:p>
          <a:endParaRPr kumimoji="1" lang="en-US" altLang="ja-JP" sz="1100"/>
        </a:p>
        <a:p>
          <a:r>
            <a:rPr kumimoji="1" lang="en-US" altLang="ja-JP" sz="1100"/>
            <a:t>		byte[] Message_Data = new byte[args.Length];</a:t>
          </a:r>
        </a:p>
        <a:p>
          <a:r>
            <a:rPr kumimoji="1" lang="en-US" altLang="ja-JP" sz="1100"/>
            <a:t>        for (int i = 0; i &lt; args.Length; i++)</a:t>
          </a:r>
        </a:p>
        <a:p>
          <a:r>
            <a:rPr kumimoji="1" lang="en-US" altLang="ja-JP" sz="1100"/>
            <a:t>        {</a:t>
          </a:r>
        </a:p>
        <a:p>
          <a:r>
            <a:rPr kumimoji="1" lang="en-US" altLang="ja-JP" sz="1100"/>
            <a:t>	byte dataByte;</a:t>
          </a:r>
        </a:p>
        <a:p>
          <a:r>
            <a:rPr kumimoji="1" lang="en-US" altLang="ja-JP" sz="1100"/>
            <a:t>	if (!byte.TryParse(args[i], out dataByte))</a:t>
          </a:r>
        </a:p>
        <a:p>
          <a:r>
            <a:rPr kumimoji="1" lang="en-US" altLang="ja-JP" sz="1100"/>
            <a:t>	{</a:t>
          </a:r>
        </a:p>
        <a:p>
          <a:r>
            <a:rPr kumimoji="1" lang="en-US" altLang="ja-JP" sz="1100"/>
            <a:t>		//Console.WriteLine($"Invalid data: {args[i]}");</a:t>
          </a:r>
        </a:p>
        <a:p>
          <a:r>
            <a:rPr kumimoji="1" lang="en-US" altLang="ja-JP" sz="1100"/>
            <a:t>		Console.WriteLine("Invalid data: " + args[i]);</a:t>
          </a:r>
        </a:p>
        <a:p>
          <a:r>
            <a:rPr kumimoji="1" lang="en-US" altLang="ja-JP" sz="1100"/>
            <a:t>		return;</a:t>
          </a:r>
        </a:p>
        <a:p>
          <a:r>
            <a:rPr kumimoji="1" lang="en-US" altLang="ja-JP" sz="1100"/>
            <a:t>	}</a:t>
          </a:r>
        </a:p>
        <a:p>
          <a:r>
            <a:rPr kumimoji="1" lang="en-US" altLang="ja-JP" sz="1100"/>
            <a:t>	Message_Data[i] = dataByte;</a:t>
          </a:r>
        </a:p>
        <a:p>
          <a:r>
            <a:rPr kumimoji="1" lang="en-US" altLang="ja-JP" sz="1100"/>
            <a:t>        }</a:t>
          </a:r>
        </a:p>
        <a:p>
          <a:r>
            <a:rPr kumimoji="1" lang="en-US" altLang="ja-JP" sz="1100"/>
            <a:t>		</a:t>
          </a:r>
        </a:p>
        <a:p>
          <a:r>
            <a:rPr kumimoji="1" lang="en-US" altLang="ja-JP" sz="1100"/>
            <a:t>		/*</a:t>
          </a:r>
        </a:p>
        <a:p>
          <a:r>
            <a:rPr kumimoji="1" lang="en-US" altLang="ja-JP" sz="1100"/>
            <a:t>        byte[] Message_Data = new byte[]</a:t>
          </a:r>
        </a:p>
        <a:p>
          <a:r>
            <a:rPr kumimoji="1" lang="en-US" altLang="ja-JP" sz="1100"/>
            <a:t>        {</a:t>
          </a:r>
        </a:p>
        <a:p>
          <a:r>
            <a:rPr kumimoji="1" lang="en-US" altLang="ja-JP" sz="1100"/>
            <a:t>            0x02, 0x03, 0x04, 0x05, 0x06, 0x07, 0x08, 0x09,</a:t>
          </a:r>
        </a:p>
        <a:p>
          <a:r>
            <a:rPr kumimoji="1" lang="en-US" altLang="ja-JP" sz="1100"/>
            <a:t>            0x10, 0x11, 0x12, 0x13, 0x14, 0x15, 0x16, 0x17,</a:t>
          </a:r>
        </a:p>
        <a:p>
          <a:r>
            <a:rPr kumimoji="1" lang="en-US" altLang="ja-JP" sz="1100"/>
            <a:t>            0x18, 0x19, 0x20, 0x21, 0x22, 0x23, 0x24, 0x25,</a:t>
          </a:r>
        </a:p>
        <a:p>
          <a:r>
            <a:rPr kumimoji="1" lang="en-US" altLang="ja-JP" sz="1100"/>
            <a:t>            0x26, 0x27, 0x66, 0x06</a:t>
          </a:r>
        </a:p>
        <a:p>
          <a:r>
            <a:rPr kumimoji="1" lang="en-US" altLang="ja-JP" sz="1100"/>
            <a:t>        };</a:t>
          </a:r>
        </a:p>
        <a:p>
          <a:r>
            <a:rPr kumimoji="1" lang="en-US" altLang="ja-JP" sz="1100"/>
            <a:t>		*/</a:t>
          </a:r>
        </a:p>
        <a:p>
          <a:r>
            <a:rPr kumimoji="1" lang="en-US" altLang="ja-JP" sz="1100"/>
            <a:t>        int length = Message_Data.Length;</a:t>
          </a:r>
        </a:p>
        <a:p>
          <a:r>
            <a:rPr kumimoji="1" lang="en-US" altLang="ja-JP" sz="1100"/>
            <a:t>		</a:t>
          </a:r>
        </a:p>
        <a:p>
          <a:r>
            <a:rPr kumimoji="1" lang="ja-JP" altLang="en-US" sz="1100"/>
            <a:t>　　</a:t>
          </a:r>
          <a:r>
            <a:rPr kumimoji="1" lang="en-US" altLang="ja-JP" sz="1100"/>
            <a:t>ushort Initial_Value = 0xFFFF;</a:t>
          </a:r>
        </a:p>
        <a:p>
          <a:r>
            <a:rPr kumimoji="1" lang="ja-JP" altLang="en-US" sz="1100"/>
            <a:t>　　</a:t>
          </a:r>
          <a:r>
            <a:rPr kumimoji="1" lang="en-US" altLang="ja-JP" sz="1100"/>
            <a:t>ushort Final_XOR_Value = 0x0000;</a:t>
          </a:r>
        </a:p>
        <a:p>
          <a:r>
            <a:rPr kumimoji="1" lang="en-US" altLang="ja-JP" sz="1100"/>
            <a:t>        ushort Checksum;</a:t>
          </a:r>
        </a:p>
        <a:p>
          <a:r>
            <a:rPr kumimoji="1" lang="en-US" altLang="ja-JP" sz="1100"/>
            <a:t>		Checksum = Initial_Value;</a:t>
          </a:r>
        </a:p>
        <a:p>
          <a:endParaRPr kumimoji="1" lang="en-US" altLang="ja-JP" sz="1100"/>
        </a:p>
        <a:p>
          <a:r>
            <a:rPr kumimoji="1" lang="en-US" altLang="ja-JP" sz="1100"/>
            <a:t>        for (int i = 0; i &lt; length; i++)</a:t>
          </a:r>
        </a:p>
        <a:p>
          <a:r>
            <a:rPr kumimoji="1" lang="en-US" altLang="ja-JP" sz="1100"/>
            <a:t>        {</a:t>
          </a:r>
        </a:p>
        <a:p>
          <a:r>
            <a:rPr kumimoji="1" lang="en-US" altLang="ja-JP" sz="1100"/>
            <a:t>            byte pos = (byte)(((Checksum ^ (Message_Data[i] &lt;&lt; 8)) &gt;&gt; 8) &amp; 0xFF);</a:t>
          </a:r>
        </a:p>
        <a:p>
          <a:r>
            <a:rPr kumimoji="1" lang="en-US" altLang="ja-JP" sz="1100"/>
            <a:t>            Checksum = (ushort)((Checksum &lt;&lt; 8) ^ Crc16Table[pos]);</a:t>
          </a:r>
        </a:p>
        <a:p>
          <a:r>
            <a:rPr kumimoji="1" lang="en-US" altLang="ja-JP" sz="1100"/>
            <a:t>        }</a:t>
          </a:r>
        </a:p>
        <a:p>
          <a:endParaRPr kumimoji="1" lang="en-US" altLang="ja-JP" sz="1100"/>
        </a:p>
        <a:p>
          <a:r>
            <a:rPr kumimoji="1" lang="en-US" altLang="ja-JP" sz="1100"/>
            <a:t>        Checksum = (ushort)(Checksum ^ Final_XOR_Value);</a:t>
          </a:r>
        </a:p>
        <a:p>
          <a:r>
            <a:rPr kumimoji="1" lang="ja-JP" altLang="en-US" sz="1100"/>
            <a:t>　　</a:t>
          </a:r>
          <a:r>
            <a:rPr kumimoji="1" lang="en-US" altLang="ja-JP" sz="1100"/>
            <a:t>Console.WriteLine("Polynominal Value: " + String.Format("{0:X}",Crc16Table[1])); //Fujiik Add write line</a:t>
          </a:r>
        </a:p>
        <a:p>
          <a:r>
            <a:rPr kumimoji="1" lang="ja-JP" altLang="en-US" sz="1100"/>
            <a:t>　　</a:t>
          </a:r>
          <a:r>
            <a:rPr kumimoji="1" lang="en-US" altLang="ja-JP" sz="1100"/>
            <a:t>Console.WriteLine("Initial Value: " + String.Format("{0:X}",Initial_Value)); //Fujiik Add write line</a:t>
          </a:r>
        </a:p>
        <a:p>
          <a:r>
            <a:rPr kumimoji="1" lang="en-US" altLang="ja-JP" sz="1100"/>
            <a:t>        Console.WriteLine("Final XOR Value: " + Final_XOR_Value.ToString("X"));</a:t>
          </a:r>
        </a:p>
        <a:p>
          <a:r>
            <a:rPr kumimoji="1" lang="ja-JP" altLang="en-US" sz="1100"/>
            <a:t>　　</a:t>
          </a:r>
          <a:r>
            <a:rPr kumimoji="1" lang="en-US" altLang="ja-JP" sz="1100"/>
            <a:t>//Console.WriteLine(Checksum.ToString("X"));</a:t>
          </a:r>
        </a:p>
        <a:p>
          <a:r>
            <a:rPr kumimoji="1" lang="ja-JP" altLang="en-US" sz="1100"/>
            <a:t>　　</a:t>
          </a:r>
          <a:r>
            <a:rPr kumimoji="1" lang="en-US" altLang="ja-JP" sz="1100"/>
            <a:t>Console.WriteLine("Checksum: " + String.Format("{0:X}", Checksum));</a:t>
          </a:r>
        </a:p>
        <a:p>
          <a:r>
            <a:rPr kumimoji="1" lang="en-US" altLang="ja-JP" sz="1100"/>
            <a:t>    }</a:t>
          </a:r>
        </a:p>
        <a:p>
          <a:r>
            <a:rPr kumimoji="1" lang="en-US" altLang="ja-JP" sz="1100"/>
            <a:t>}</a:t>
          </a:r>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327660</xdr:colOff>
          <xdr:row>45</xdr:row>
          <xdr:rowOff>137160</xdr:rowOff>
        </xdr:from>
        <xdr:to>
          <xdr:col>5</xdr:col>
          <xdr:colOff>45720</xdr:colOff>
          <xdr:row>48</xdr:row>
          <xdr:rowOff>129540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8</xdr:col>
      <xdr:colOff>647700</xdr:colOff>
      <xdr:row>15</xdr:row>
      <xdr:rowOff>102870</xdr:rowOff>
    </xdr:from>
    <xdr:to>
      <xdr:col>18</xdr:col>
      <xdr:colOff>564434</xdr:colOff>
      <xdr:row>32</xdr:row>
      <xdr:rowOff>122107</xdr:rowOff>
    </xdr:to>
    <xdr:grpSp>
      <xdr:nvGrpSpPr>
        <xdr:cNvPr id="5" name="グループ化 4">
          <a:extLst>
            <a:ext uri="{FF2B5EF4-FFF2-40B4-BE49-F238E27FC236}">
              <a16:creationId xmlns:a16="http://schemas.microsoft.com/office/drawing/2014/main" id="{00000000-0008-0000-0200-000005000000}"/>
            </a:ext>
          </a:extLst>
        </xdr:cNvPr>
        <xdr:cNvGrpSpPr/>
      </xdr:nvGrpSpPr>
      <xdr:grpSpPr>
        <a:xfrm>
          <a:off x="5501640" y="2929890"/>
          <a:ext cx="6622334" cy="3006277"/>
          <a:chOff x="5486400" y="758190"/>
          <a:chExt cx="6622334" cy="2480497"/>
        </a:xfrm>
      </xdr:grpSpPr>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5715000" y="1082040"/>
            <a:ext cx="6393734" cy="2156647"/>
          </a:xfrm>
          <a:prstGeom prst="rect">
            <a:avLst/>
          </a:prstGeom>
          <a:ln>
            <a:solidFill>
              <a:schemeClr val="accent1"/>
            </a:solidFill>
          </a:ln>
        </xdr:spPr>
      </xdr:pic>
      <xdr:sp macro="" textlink="">
        <xdr:nvSpPr>
          <xdr:cNvPr id="6" name="四角形: 角を丸くする 5">
            <a:extLst>
              <a:ext uri="{FF2B5EF4-FFF2-40B4-BE49-F238E27FC236}">
                <a16:creationId xmlns:a16="http://schemas.microsoft.com/office/drawing/2014/main" id="{00000000-0008-0000-0200-000006000000}"/>
              </a:ext>
            </a:extLst>
          </xdr:cNvPr>
          <xdr:cNvSpPr/>
        </xdr:nvSpPr>
        <xdr:spPr>
          <a:xfrm>
            <a:off x="5654042" y="2400301"/>
            <a:ext cx="1356360" cy="198119"/>
          </a:xfrm>
          <a:prstGeom prst="roundRect">
            <a:avLst/>
          </a:prstGeom>
          <a:noFill/>
          <a:ln w="28575" cap="flat" cmpd="sng" algn="ctr">
            <a:solidFill>
              <a:srgbClr val="FF0000"/>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sp macro="" textlink="">
        <xdr:nvSpPr>
          <xdr:cNvPr id="9" name="四角形: 角を丸くする 8">
            <a:extLst>
              <a:ext uri="{FF2B5EF4-FFF2-40B4-BE49-F238E27FC236}">
                <a16:creationId xmlns:a16="http://schemas.microsoft.com/office/drawing/2014/main" id="{00000000-0008-0000-0200-000009000000}"/>
              </a:ext>
            </a:extLst>
          </xdr:cNvPr>
          <xdr:cNvSpPr/>
        </xdr:nvSpPr>
        <xdr:spPr>
          <a:xfrm>
            <a:off x="5676901" y="1927861"/>
            <a:ext cx="1927859" cy="480059"/>
          </a:xfrm>
          <a:prstGeom prst="roundRect">
            <a:avLst/>
          </a:prstGeom>
          <a:noFill/>
          <a:ln w="28575" cap="flat" cmpd="sng" algn="ctr">
            <a:solidFill>
              <a:srgbClr val="0000FF"/>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sp macro="" textlink="">
        <xdr:nvSpPr>
          <xdr:cNvPr id="11" name="四角形: 角を丸くする 10">
            <a:extLst>
              <a:ext uri="{FF2B5EF4-FFF2-40B4-BE49-F238E27FC236}">
                <a16:creationId xmlns:a16="http://schemas.microsoft.com/office/drawing/2014/main" id="{00000000-0008-0000-0200-00000B000000}"/>
              </a:ext>
            </a:extLst>
          </xdr:cNvPr>
          <xdr:cNvSpPr/>
        </xdr:nvSpPr>
        <xdr:spPr>
          <a:xfrm>
            <a:off x="10126981" y="1737360"/>
            <a:ext cx="1371600" cy="342900"/>
          </a:xfrm>
          <a:prstGeom prst="roundRect">
            <a:avLst/>
          </a:prstGeom>
          <a:noFill/>
          <a:ln w="28575" cap="flat" cmpd="sng" algn="ctr">
            <a:solidFill>
              <a:srgbClr val="FFC000"/>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5486400" y="758190"/>
            <a:ext cx="960120" cy="3467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＜実行例＞</a:t>
            </a:r>
          </a:p>
        </xdr:txBody>
      </xdr:sp>
    </xdr:grpSp>
    <xdr:clientData/>
  </xdr:twoCellAnchor>
  <xdr:twoCellAnchor editAs="oneCell">
    <xdr:from>
      <xdr:col>3</xdr:col>
      <xdr:colOff>0</xdr:colOff>
      <xdr:row>172</xdr:row>
      <xdr:rowOff>0</xdr:rowOff>
    </xdr:from>
    <xdr:to>
      <xdr:col>13</xdr:col>
      <xdr:colOff>389235</xdr:colOff>
      <xdr:row>174</xdr:row>
      <xdr:rowOff>99099</xdr:rowOff>
    </xdr:to>
    <xdr:pic>
      <xdr:nvPicPr>
        <xdr:cNvPr id="15" name="図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2"/>
        <a:stretch>
          <a:fillRect/>
        </a:stretch>
      </xdr:blipFill>
      <xdr:spPr>
        <a:xfrm>
          <a:off x="1424940" y="27127200"/>
          <a:ext cx="7094835" cy="44961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327660</xdr:colOff>
          <xdr:row>161</xdr:row>
          <xdr:rowOff>91440</xdr:rowOff>
        </xdr:from>
        <xdr:to>
          <xdr:col>6</xdr:col>
          <xdr:colOff>548640</xdr:colOff>
          <xdr:row>164</xdr:row>
          <xdr:rowOff>83820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3</xdr:col>
      <xdr:colOff>0</xdr:colOff>
      <xdr:row>177</xdr:row>
      <xdr:rowOff>30480</xdr:rowOff>
    </xdr:from>
    <xdr:to>
      <xdr:col>16</xdr:col>
      <xdr:colOff>595167</xdr:colOff>
      <xdr:row>193</xdr:row>
      <xdr:rowOff>99309</xdr:rowOff>
    </xdr:to>
    <xdr:grpSp>
      <xdr:nvGrpSpPr>
        <xdr:cNvPr id="26" name="グループ化 25">
          <a:extLst>
            <a:ext uri="{FF2B5EF4-FFF2-40B4-BE49-F238E27FC236}">
              <a16:creationId xmlns:a16="http://schemas.microsoft.com/office/drawing/2014/main" id="{00000000-0008-0000-0200-00001A000000}"/>
            </a:ext>
          </a:extLst>
        </xdr:cNvPr>
        <xdr:cNvGrpSpPr/>
      </xdr:nvGrpSpPr>
      <xdr:grpSpPr>
        <a:xfrm>
          <a:off x="1501140" y="31379160"/>
          <a:ext cx="9312447" cy="2872989"/>
          <a:chOff x="1501140" y="31028640"/>
          <a:chExt cx="9312447" cy="2872989"/>
        </a:xfrm>
      </xdr:grpSpPr>
      <xdr:pic>
        <xdr:nvPicPr>
          <xdr:cNvPr id="16" name="図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3"/>
          <a:stretch>
            <a:fillRect/>
          </a:stretch>
        </xdr:blipFill>
        <xdr:spPr>
          <a:xfrm>
            <a:off x="1501140" y="31028640"/>
            <a:ext cx="9312447" cy="2872989"/>
          </a:xfrm>
          <a:prstGeom prst="rect">
            <a:avLst/>
          </a:prstGeom>
        </xdr:spPr>
      </xdr:pic>
      <xdr:sp macro="" textlink="">
        <xdr:nvSpPr>
          <xdr:cNvPr id="8" name="四角形: 角を丸くする 7">
            <a:extLst>
              <a:ext uri="{FF2B5EF4-FFF2-40B4-BE49-F238E27FC236}">
                <a16:creationId xmlns:a16="http://schemas.microsoft.com/office/drawing/2014/main" id="{00000000-0008-0000-0200-000008000000}"/>
              </a:ext>
            </a:extLst>
          </xdr:cNvPr>
          <xdr:cNvSpPr/>
        </xdr:nvSpPr>
        <xdr:spPr>
          <a:xfrm>
            <a:off x="7178040" y="31242000"/>
            <a:ext cx="426720" cy="259080"/>
          </a:xfrm>
          <a:prstGeom prst="roundRect">
            <a:avLst/>
          </a:prstGeom>
          <a:noFill/>
          <a:ln w="28575" cap="flat" cmpd="sng" algn="ctr">
            <a:solidFill>
              <a:srgbClr val="FF0000"/>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sp macro="" textlink="">
        <xdr:nvSpPr>
          <xdr:cNvPr id="10" name="四角形: 角を丸くする 9">
            <a:extLst>
              <a:ext uri="{FF2B5EF4-FFF2-40B4-BE49-F238E27FC236}">
                <a16:creationId xmlns:a16="http://schemas.microsoft.com/office/drawing/2014/main" id="{00000000-0008-0000-0200-00000A000000}"/>
              </a:ext>
            </a:extLst>
          </xdr:cNvPr>
          <xdr:cNvSpPr/>
        </xdr:nvSpPr>
        <xdr:spPr>
          <a:xfrm>
            <a:off x="1516380" y="31744920"/>
            <a:ext cx="1104900" cy="175260"/>
          </a:xfrm>
          <a:prstGeom prst="roundRect">
            <a:avLst/>
          </a:prstGeom>
          <a:noFill/>
          <a:ln w="28575" cap="flat" cmpd="sng" algn="ctr">
            <a:solidFill>
              <a:srgbClr val="FF0000"/>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sp macro="" textlink="">
        <xdr:nvSpPr>
          <xdr:cNvPr id="12" name="テキスト ボックス 11">
            <a:extLst>
              <a:ext uri="{FF2B5EF4-FFF2-40B4-BE49-F238E27FC236}">
                <a16:creationId xmlns:a16="http://schemas.microsoft.com/office/drawing/2014/main" id="{00000000-0008-0000-0200-00000C000000}"/>
              </a:ext>
            </a:extLst>
          </xdr:cNvPr>
          <xdr:cNvSpPr txBox="1"/>
        </xdr:nvSpPr>
        <xdr:spPr>
          <a:xfrm>
            <a:off x="4815840" y="31737300"/>
            <a:ext cx="5158740" cy="215646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ja-JP" altLang="en-US" sz="1100"/>
              <a:t>引数で指定した</a:t>
            </a:r>
            <a:r>
              <a:rPr kumimoji="1" lang="en-US" altLang="ja-JP" sz="1100"/>
              <a:t>Polynominal</a:t>
            </a:r>
            <a:r>
              <a:rPr kumimoji="1" lang="ja-JP" altLang="en-US" sz="1100"/>
              <a:t>値（生成多項式から計算した結果）と、計算結果の</a:t>
            </a:r>
            <a:r>
              <a:rPr kumimoji="1" lang="en-US" altLang="ja-JP" sz="1100"/>
              <a:t>Look up table</a:t>
            </a:r>
            <a:r>
              <a:rPr kumimoji="1" lang="ja-JP" altLang="en-US" sz="1100"/>
              <a:t>の配列</a:t>
            </a:r>
            <a:r>
              <a:rPr kumimoji="1" lang="en-US" altLang="ja-JP" sz="1100"/>
              <a:t>[1]</a:t>
            </a:r>
            <a:r>
              <a:rPr kumimoji="1" lang="ja-JP" altLang="en-US" sz="1100"/>
              <a:t>の値は一致する。</a:t>
            </a:r>
            <a:endParaRPr kumimoji="1" lang="en-US" altLang="ja-JP" sz="1100"/>
          </a:p>
          <a:p>
            <a:r>
              <a:rPr kumimoji="1" lang="ja-JP" altLang="en-US" sz="1100"/>
              <a:t>この例では、引数</a:t>
            </a:r>
            <a:r>
              <a:rPr kumimoji="1" lang="en-US" altLang="ja-JP" sz="1100"/>
              <a:t>4129</a:t>
            </a:r>
            <a:r>
              <a:rPr kumimoji="1" lang="ja-JP" altLang="en-US" sz="1100"/>
              <a:t>（</a:t>
            </a:r>
            <a:r>
              <a:rPr kumimoji="1" lang="en-US" altLang="ja-JP" sz="1100"/>
              <a:t>Decimal</a:t>
            </a:r>
            <a:r>
              <a:rPr kumimoji="1" lang="ja-JP" altLang="en-US" sz="1100"/>
              <a:t>）は</a:t>
            </a:r>
            <a:r>
              <a:rPr kumimoji="1" lang="en-US" altLang="ja-JP" sz="1100"/>
              <a:t>Polynominal</a:t>
            </a:r>
            <a:r>
              <a:rPr kumimoji="1" lang="ja-JP" altLang="en-US" sz="1100"/>
              <a:t>値</a:t>
            </a:r>
            <a:r>
              <a:rPr kumimoji="1" lang="en-US" altLang="ja-JP" sz="1100"/>
              <a:t>0x1021</a:t>
            </a:r>
            <a:r>
              <a:rPr kumimoji="1" lang="ja-JP" altLang="en-US" sz="1100"/>
              <a:t>で一致している。</a:t>
            </a:r>
          </a:p>
        </xdr:txBody>
      </xdr:sp>
      <xdr:cxnSp macro="">
        <xdr:nvCxnSpPr>
          <xdr:cNvPr id="13" name="直線矢印コネクタ 12">
            <a:extLst>
              <a:ext uri="{FF2B5EF4-FFF2-40B4-BE49-F238E27FC236}">
                <a16:creationId xmlns:a16="http://schemas.microsoft.com/office/drawing/2014/main" id="{00000000-0008-0000-0200-00000D000000}"/>
              </a:ext>
            </a:extLst>
          </xdr:cNvPr>
          <xdr:cNvCxnSpPr>
            <a:stCxn id="12" idx="0"/>
            <a:endCxn id="8" idx="2"/>
          </xdr:cNvCxnSpPr>
        </xdr:nvCxnSpPr>
        <xdr:spPr>
          <a:xfrm flipH="1" flipV="1">
            <a:off x="7391400" y="31501080"/>
            <a:ext cx="3810" cy="23622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4" name="直線矢印コネクタ 13">
            <a:extLst>
              <a:ext uri="{FF2B5EF4-FFF2-40B4-BE49-F238E27FC236}">
                <a16:creationId xmlns:a16="http://schemas.microsoft.com/office/drawing/2014/main" id="{00000000-0008-0000-0200-00000E000000}"/>
              </a:ext>
            </a:extLst>
          </xdr:cNvPr>
          <xdr:cNvCxnSpPr>
            <a:stCxn id="12" idx="1"/>
            <a:endCxn id="10" idx="3"/>
          </xdr:cNvCxnSpPr>
        </xdr:nvCxnSpPr>
        <xdr:spPr>
          <a:xfrm flipH="1" flipV="1">
            <a:off x="2621280" y="31832550"/>
            <a:ext cx="2194560" cy="98298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pic>
        <xdr:nvPicPr>
          <xdr:cNvPr id="19" name="図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4"/>
          <a:stretch>
            <a:fillRect/>
          </a:stretch>
        </xdr:blipFill>
        <xdr:spPr>
          <a:xfrm>
            <a:off x="5341621" y="32590740"/>
            <a:ext cx="2163318" cy="127254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68580</xdr:colOff>
      <xdr:row>61</xdr:row>
      <xdr:rowOff>110490</xdr:rowOff>
    </xdr:from>
    <xdr:to>
      <xdr:col>13</xdr:col>
      <xdr:colOff>548640</xdr:colOff>
      <xdr:row>118</xdr:row>
      <xdr:rowOff>76200</xdr:rowOff>
    </xdr:to>
    <xdr:sp macro="" textlink="">
      <xdr:nvSpPr>
        <xdr:cNvPr id="9" name="テキスト ボックス 8">
          <a:extLst>
            <a:ext uri="{FF2B5EF4-FFF2-40B4-BE49-F238E27FC236}">
              <a16:creationId xmlns:a16="http://schemas.microsoft.com/office/drawing/2014/main" id="{00000000-0008-0000-0300-000009000000}"/>
            </a:ext>
          </a:extLst>
        </xdr:cNvPr>
        <xdr:cNvSpPr txBox="1"/>
      </xdr:nvSpPr>
      <xdr:spPr>
        <a:xfrm>
          <a:off x="822960" y="11098530"/>
          <a:ext cx="7856220" cy="99555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a:t>
          </a:r>
        </a:p>
        <a:p>
          <a:r>
            <a:rPr kumimoji="1" lang="en-US" altLang="ja-JP" sz="800"/>
            <a:t>Reference Web page: </a:t>
          </a:r>
        </a:p>
        <a:p>
          <a:r>
            <a:rPr kumimoji="1" lang="en-US" altLang="ja-JP" sz="800"/>
            <a:t>URL:http://www.sunshine2k.de/coding/javascript/crc/crc_js.html</a:t>
          </a:r>
        </a:p>
        <a:p>
          <a:r>
            <a:rPr kumimoji="1" lang="en-US" altLang="ja-JP" sz="800"/>
            <a:t>*/</a:t>
          </a:r>
        </a:p>
        <a:p>
          <a:r>
            <a:rPr kumimoji="1" lang="en-US" altLang="ja-JP" sz="800"/>
            <a:t>using System;</a:t>
          </a:r>
        </a:p>
        <a:p>
          <a:endParaRPr kumimoji="1" lang="en-US" altLang="ja-JP" sz="800"/>
        </a:p>
        <a:p>
          <a:r>
            <a:rPr kumimoji="1" lang="en-US" altLang="ja-JP" sz="800"/>
            <a:t>public class Program</a:t>
          </a:r>
        </a:p>
        <a:p>
          <a:r>
            <a:rPr kumimoji="1" lang="en-US" altLang="ja-JP" sz="800"/>
            <a:t>{</a:t>
          </a:r>
        </a:p>
        <a:p>
          <a:r>
            <a:rPr kumimoji="1" lang="en-US" altLang="ja-JP" sz="800"/>
            <a:t>    static readonly byte[] Crc8Table = new byte[]</a:t>
          </a:r>
        </a:p>
        <a:p>
          <a:r>
            <a:rPr kumimoji="1" lang="en-US" altLang="ja-JP" sz="800"/>
            <a:t>    {</a:t>
          </a:r>
        </a:p>
        <a:p>
          <a:r>
            <a:rPr kumimoji="1" lang="en-US" altLang="ja-JP" sz="800"/>
            <a:t>        0x00, 0x1D, 0x3A, 0x27, 0x74, 0x69, 0x4E, 0x53, 0xE8, 0xF5, 0xD2, 0xCF, 0x9C, 0x81, 0xA6, 0xBB,</a:t>
          </a:r>
        </a:p>
        <a:p>
          <a:r>
            <a:rPr kumimoji="1" lang="en-US" altLang="ja-JP" sz="800"/>
            <a:t>        0xCD, 0xD0, 0xF7, 0xEA, 0xB9, 0xA4, 0x83, 0x9E, 0x25, 0x38, 0x1F, 0x02, 0x51, 0x4C, 0x6B, 0x76,</a:t>
          </a:r>
        </a:p>
        <a:p>
          <a:r>
            <a:rPr kumimoji="1" lang="en-US" altLang="ja-JP" sz="800"/>
            <a:t>        0x87, 0x9A, 0xBD, 0xA0, 0xF3, 0xEE, 0xC9, 0xD4, 0x6F, 0x72, 0x55, 0x48, 0x1B, 0x06, 0x21, 0x3C,</a:t>
          </a:r>
        </a:p>
        <a:p>
          <a:r>
            <a:rPr kumimoji="1" lang="en-US" altLang="ja-JP" sz="800"/>
            <a:t>        0x4A, 0x57, 0x70, 0x6D, 0x3E, 0x23, 0x04, 0x19, 0xA2, 0xBF, 0x98, 0x85, 0xD6, 0xCB, 0xEC, 0xF1,</a:t>
          </a:r>
        </a:p>
        <a:p>
          <a:r>
            <a:rPr kumimoji="1" lang="en-US" altLang="ja-JP" sz="800"/>
            <a:t>        0x13, 0x0E, 0x29, 0x34, 0x67, 0x7A, 0x5D, 0x40, 0xFB, 0xE6, 0xC1, 0xDC, 0x8F, 0x92, 0xB5, 0xA8,</a:t>
          </a:r>
        </a:p>
        <a:p>
          <a:r>
            <a:rPr kumimoji="1" lang="en-US" altLang="ja-JP" sz="800"/>
            <a:t>        0xDE, 0xC3, 0xE4, 0xF9, 0xAA, 0xB7, 0x90, 0x8D, 0x36, 0x2B, 0x0C, 0x11, 0x42, 0x5F, 0x78, 0x65,</a:t>
          </a:r>
        </a:p>
        <a:p>
          <a:r>
            <a:rPr kumimoji="1" lang="en-US" altLang="ja-JP" sz="800"/>
            <a:t>        0x94, 0x89, 0xAE, 0xB3, 0xE0, 0xFD, 0xDA, 0xC7, 0x7C, 0x61, 0x46, 0x5B, 0x08, 0x15, 0x32, 0x2F,</a:t>
          </a:r>
        </a:p>
        <a:p>
          <a:r>
            <a:rPr kumimoji="1" lang="en-US" altLang="ja-JP" sz="800"/>
            <a:t>        0x59, 0x44, 0x63, 0x7E, 0x2D, 0x30, 0x17, 0x0A, 0xB1, 0xAC, 0x8B, 0x96, 0xC5, 0xD8, 0xFF, 0xE2,</a:t>
          </a:r>
        </a:p>
        <a:p>
          <a:r>
            <a:rPr kumimoji="1" lang="en-US" altLang="ja-JP" sz="800"/>
            <a:t>        0x26, 0x3B, 0x1C, 0x01, 0x52, 0x4F, 0x68, 0x75, 0xCE, 0xD3, 0xF4, 0xE9, 0xBA, 0xA7, 0x80, 0x9D,</a:t>
          </a:r>
        </a:p>
        <a:p>
          <a:r>
            <a:rPr kumimoji="1" lang="en-US" altLang="ja-JP" sz="800"/>
            <a:t>        0xEB, 0xF6, 0xD1, 0xCC, 0x9F, 0x82, 0xA5, 0xB8, 0x03, 0x1E, 0x39, 0x24, 0x77, 0x6A, 0x4D, 0x50,</a:t>
          </a:r>
        </a:p>
        <a:p>
          <a:r>
            <a:rPr kumimoji="1" lang="en-US" altLang="ja-JP" sz="800"/>
            <a:t>        0xA1, 0xBC, 0x9B, 0x86, 0xD5, 0xC8, 0xEF, 0xF2, 0x49, 0x54, 0x73, 0x6E, 0x3D, 0x20, 0x07, 0x1A,</a:t>
          </a:r>
        </a:p>
        <a:p>
          <a:r>
            <a:rPr kumimoji="1" lang="en-US" altLang="ja-JP" sz="800"/>
            <a:t>        0x6C, 0x71, 0x56, 0x4B, 0x18, 0x05, 0x22, 0x3F, 0x84, 0x99, 0xBE, 0xA3, 0xF0, 0xED, 0xCA, 0xD7,</a:t>
          </a:r>
        </a:p>
        <a:p>
          <a:r>
            <a:rPr kumimoji="1" lang="en-US" altLang="ja-JP" sz="800"/>
            <a:t>        0x35, 0x28, 0x0F, 0x12, 0x41, 0x5C, 0x7B, 0x66, 0xDD, 0xC0, 0xE7, 0xFA, 0xA9, 0xB4, 0x93, 0x8E,</a:t>
          </a:r>
        </a:p>
        <a:p>
          <a:r>
            <a:rPr kumimoji="1" lang="en-US" altLang="ja-JP" sz="800"/>
            <a:t>        0xF8, 0xE5, 0xC2, 0xDF, 0x8C, 0x91, 0xB6, 0xAB, 0x10, 0x0D, 0x2A, 0x37, 0x64, 0x79, 0x5E, 0x43,</a:t>
          </a:r>
        </a:p>
        <a:p>
          <a:r>
            <a:rPr kumimoji="1" lang="en-US" altLang="ja-JP" sz="800"/>
            <a:t>        0xB2, 0xAF, 0x88, 0x95, 0xC6, 0xDB, 0xFC, 0xE1, 0x5A, 0x47, 0x60, 0x7D, 0x2E, 0x33, 0x14, 0x09,</a:t>
          </a:r>
        </a:p>
        <a:p>
          <a:r>
            <a:rPr kumimoji="1" lang="en-US" altLang="ja-JP" sz="800"/>
            <a:t>        0x7F, 0x62, 0x45, 0x58, 0x0B, 0x16, 0x31, 0x2C, 0x97, 0x8A, 0xAD, 0xB0, 0xE3, 0xFE, 0xD9, 0xC4</a:t>
          </a:r>
        </a:p>
        <a:p>
          <a:r>
            <a:rPr kumimoji="1" lang="en-US" altLang="ja-JP" sz="800"/>
            <a:t>    };</a:t>
          </a:r>
        </a:p>
        <a:p>
          <a:endParaRPr kumimoji="1" lang="en-US" altLang="ja-JP" sz="800"/>
        </a:p>
        <a:p>
          <a:r>
            <a:rPr kumimoji="1" lang="en-US" altLang="ja-JP" sz="800"/>
            <a:t>    public static void Main(string[] args)</a:t>
          </a:r>
        </a:p>
        <a:p>
          <a:r>
            <a:rPr kumimoji="1" lang="en-US" altLang="ja-JP" sz="800"/>
            <a:t>    {</a:t>
          </a:r>
        </a:p>
        <a:p>
          <a:r>
            <a:rPr kumimoji="1" lang="en-US" altLang="ja-JP" sz="800"/>
            <a:t>        if (args.Length == 0)</a:t>
          </a:r>
        </a:p>
        <a:p>
          <a:r>
            <a:rPr kumimoji="1" lang="en-US" altLang="ja-JP" sz="800"/>
            <a:t>        {</a:t>
          </a:r>
        </a:p>
        <a:p>
          <a:r>
            <a:rPr kumimoji="1" lang="en-US" altLang="ja-JP" sz="800"/>
            <a:t>            Console.WriteLine("Please provide decimal int data as command-line arguments.");</a:t>
          </a:r>
        </a:p>
        <a:p>
          <a:r>
            <a:rPr kumimoji="1" lang="en-US" altLang="ja-JP" sz="800"/>
            <a:t>            return;</a:t>
          </a:r>
        </a:p>
        <a:p>
          <a:r>
            <a:rPr kumimoji="1" lang="en-US" altLang="ja-JP" sz="800"/>
            <a:t>        }</a:t>
          </a:r>
        </a:p>
        <a:p>
          <a:endParaRPr kumimoji="1" lang="en-US" altLang="ja-JP" sz="800"/>
        </a:p>
        <a:p>
          <a:r>
            <a:rPr kumimoji="1" lang="en-US" altLang="ja-JP" sz="800"/>
            <a:t>        byte Checksum = 0;</a:t>
          </a:r>
        </a:p>
        <a:p>
          <a:endParaRPr kumimoji="1" lang="en-US" altLang="ja-JP" sz="800"/>
        </a:p>
        <a:p>
          <a:r>
            <a:rPr kumimoji="1" lang="en-US" altLang="ja-JP" sz="800"/>
            <a:t>        byte[] Message_Data = new byte[args.Length];</a:t>
          </a:r>
        </a:p>
        <a:p>
          <a:r>
            <a:rPr kumimoji="1" lang="en-US" altLang="ja-JP" sz="800"/>
            <a:t>        for (int i = 0; i &lt; args.Length; i++)</a:t>
          </a:r>
        </a:p>
        <a:p>
          <a:r>
            <a:rPr kumimoji="1" lang="en-US" altLang="ja-JP" sz="800"/>
            <a:t>        {</a:t>
          </a:r>
        </a:p>
        <a:p>
          <a:r>
            <a:rPr kumimoji="1" lang="en-US" altLang="ja-JP" sz="800"/>
            <a:t>	byte dataByte;</a:t>
          </a:r>
        </a:p>
        <a:p>
          <a:r>
            <a:rPr kumimoji="1" lang="en-US" altLang="ja-JP" sz="800"/>
            <a:t>	if (!byte.TryParse(args[i], out dataByte))</a:t>
          </a:r>
        </a:p>
        <a:p>
          <a:r>
            <a:rPr kumimoji="1" lang="en-US" altLang="ja-JP" sz="800"/>
            <a:t>	{</a:t>
          </a:r>
        </a:p>
        <a:p>
          <a:r>
            <a:rPr kumimoji="1" lang="en-US" altLang="ja-JP" sz="800"/>
            <a:t>		//Console.WriteLine($"Invalid data: {args[i]}");</a:t>
          </a:r>
        </a:p>
        <a:p>
          <a:r>
            <a:rPr kumimoji="1" lang="en-US" altLang="ja-JP" sz="800"/>
            <a:t>		Console.WriteLine("Invalid data: " + args[i]);</a:t>
          </a:r>
        </a:p>
        <a:p>
          <a:r>
            <a:rPr kumimoji="1" lang="en-US" altLang="ja-JP" sz="800"/>
            <a:t>		return;</a:t>
          </a:r>
        </a:p>
        <a:p>
          <a:r>
            <a:rPr kumimoji="1" lang="en-US" altLang="ja-JP" sz="800"/>
            <a:t>	}</a:t>
          </a:r>
        </a:p>
        <a:p>
          <a:r>
            <a:rPr kumimoji="1" lang="en-US" altLang="ja-JP" sz="800"/>
            <a:t>	Message_Data[i] = dataByte;</a:t>
          </a:r>
        </a:p>
        <a:p>
          <a:r>
            <a:rPr kumimoji="1" lang="en-US" altLang="ja-JP" sz="800"/>
            <a:t>        }</a:t>
          </a:r>
        </a:p>
        <a:p>
          <a:endParaRPr kumimoji="1" lang="en-US" altLang="ja-JP" sz="800"/>
        </a:p>
        <a:p>
          <a:r>
            <a:rPr kumimoji="1" lang="en-US" altLang="ja-JP" sz="800"/>
            <a:t>        int length = Message_Data.Length;</a:t>
          </a:r>
        </a:p>
        <a:p>
          <a:r>
            <a:rPr kumimoji="1" lang="en-US" altLang="ja-JP" sz="800"/>
            <a:t>        byte Initial_Value;</a:t>
          </a:r>
        </a:p>
        <a:p>
          <a:r>
            <a:rPr kumimoji="1" lang="en-US" altLang="ja-JP" sz="800"/>
            <a:t>		byte Final_XOR_Value;</a:t>
          </a:r>
        </a:p>
        <a:p>
          <a:r>
            <a:rPr kumimoji="1" lang="en-US" altLang="ja-JP" sz="800"/>
            <a:t>        // Checksum calculation based on SAE J1850</a:t>
          </a:r>
        </a:p>
        <a:p>
          <a:r>
            <a:rPr kumimoji="1" lang="ja-JP" altLang="en-US" sz="800"/>
            <a:t>　　</a:t>
          </a:r>
          <a:r>
            <a:rPr kumimoji="1" lang="en-US" altLang="ja-JP" sz="800"/>
            <a:t>Initial_Value = 0x00;</a:t>
          </a:r>
        </a:p>
        <a:p>
          <a:r>
            <a:rPr kumimoji="1" lang="ja-JP" altLang="en-US" sz="800"/>
            <a:t>　　</a:t>
          </a:r>
          <a:r>
            <a:rPr kumimoji="1" lang="en-US" altLang="ja-JP" sz="800"/>
            <a:t>Final_XOR_Value = 0x00;</a:t>
          </a:r>
        </a:p>
        <a:p>
          <a:r>
            <a:rPr kumimoji="1" lang="en-US" altLang="ja-JP" sz="800"/>
            <a:t>        //Checksum = 0x00;</a:t>
          </a:r>
        </a:p>
        <a:p>
          <a:r>
            <a:rPr kumimoji="1" lang="ja-JP" altLang="en-US" sz="800"/>
            <a:t>　　</a:t>
          </a:r>
          <a:r>
            <a:rPr kumimoji="1" lang="en-US" altLang="ja-JP" sz="800"/>
            <a:t>Checksum = Initial_Value;</a:t>
          </a:r>
        </a:p>
        <a:p>
          <a:endParaRPr kumimoji="1" lang="en-US" altLang="ja-JP" sz="800"/>
        </a:p>
        <a:p>
          <a:r>
            <a:rPr kumimoji="1" lang="en-US" altLang="ja-JP" sz="800"/>
            <a:t>        for (int i = 0; i &lt; length; i++)</a:t>
          </a:r>
        </a:p>
        <a:p>
          <a:r>
            <a:rPr kumimoji="1" lang="en-US" altLang="ja-JP" sz="800"/>
            <a:t>        {</a:t>
          </a:r>
        </a:p>
        <a:p>
          <a:r>
            <a:rPr kumimoji="1" lang="en-US" altLang="ja-JP" sz="800"/>
            <a:t>            Checksum = Crc8Table[Checksum ^ Message_Data[i]];</a:t>
          </a:r>
        </a:p>
        <a:p>
          <a:r>
            <a:rPr kumimoji="1" lang="en-US" altLang="ja-JP" sz="800"/>
            <a:t>        }</a:t>
          </a:r>
        </a:p>
        <a:p>
          <a:endParaRPr kumimoji="1" lang="en-US" altLang="ja-JP" sz="800"/>
        </a:p>
        <a:p>
          <a:r>
            <a:rPr kumimoji="1" lang="en-US" altLang="ja-JP" sz="800"/>
            <a:t>        Checksum = (byte)(Checksum ^ Final_XOR_Value);</a:t>
          </a:r>
        </a:p>
        <a:p>
          <a:r>
            <a:rPr kumimoji="1" lang="en-US" altLang="ja-JP" sz="800"/>
            <a:t>        //Console.WriteLine($"{Checksum:X}");</a:t>
          </a:r>
        </a:p>
        <a:p>
          <a:r>
            <a:rPr kumimoji="1" lang="ja-JP" altLang="en-US" sz="800"/>
            <a:t>　　</a:t>
          </a:r>
          <a:r>
            <a:rPr kumimoji="1" lang="en-US" altLang="ja-JP" sz="800"/>
            <a:t>//Console.WriteLine(Checksum.ToString("X"));</a:t>
          </a:r>
        </a:p>
        <a:p>
          <a:r>
            <a:rPr kumimoji="1" lang="ja-JP" altLang="en-US" sz="800"/>
            <a:t>　　</a:t>
          </a:r>
          <a:r>
            <a:rPr kumimoji="1" lang="en-US" altLang="ja-JP" sz="800"/>
            <a:t>Console.WriteLine("Polynominal Value: " + String.Format("{0:X}",Crc8Table[1]));</a:t>
          </a:r>
        </a:p>
        <a:p>
          <a:r>
            <a:rPr kumimoji="1" lang="ja-JP" altLang="en-US" sz="800"/>
            <a:t>　　</a:t>
          </a:r>
          <a:r>
            <a:rPr kumimoji="1" lang="en-US" altLang="ja-JP" sz="800"/>
            <a:t>Console.WriteLine("Initial Value: " + String.Format("{0:X}",Initial_Value));</a:t>
          </a:r>
        </a:p>
        <a:p>
          <a:r>
            <a:rPr kumimoji="1" lang="ja-JP" altLang="en-US" sz="800"/>
            <a:t>　　</a:t>
          </a:r>
          <a:r>
            <a:rPr kumimoji="1" lang="en-US" altLang="ja-JP" sz="800"/>
            <a:t>Console.WriteLine("Final XOR Value: " + String.Format("{0:X}",Final_XOR_Value));</a:t>
          </a:r>
        </a:p>
        <a:p>
          <a:r>
            <a:rPr kumimoji="1" lang="ja-JP" altLang="en-US" sz="800"/>
            <a:t>　　</a:t>
          </a:r>
          <a:r>
            <a:rPr kumimoji="1" lang="en-US" altLang="ja-JP" sz="800"/>
            <a:t>Console.WriteLine("Checksum: " + String.Format("{0:X}", Checksum));</a:t>
          </a:r>
        </a:p>
        <a:p>
          <a:r>
            <a:rPr kumimoji="1" lang="en-US" altLang="ja-JP" sz="800"/>
            <a:t>    }</a:t>
          </a:r>
        </a:p>
        <a:p>
          <a:r>
            <a:rPr kumimoji="1" lang="en-US" altLang="ja-JP" sz="800"/>
            <a:t>}</a:t>
          </a:r>
        </a:p>
        <a:p>
          <a:endParaRPr kumimoji="1" lang="ja-JP" altLang="en-US" sz="800"/>
        </a:p>
      </xdr:txBody>
    </xdr:sp>
    <xdr:clientData/>
  </xdr:twoCellAnchor>
  <mc:AlternateContent xmlns:mc="http://schemas.openxmlformats.org/markup-compatibility/2006">
    <mc:Choice xmlns:a14="http://schemas.microsoft.com/office/drawing/2010/main" Requires="a14">
      <xdr:twoCellAnchor editAs="oneCell">
        <xdr:from>
          <xdr:col>2</xdr:col>
          <xdr:colOff>396240</xdr:colOff>
          <xdr:row>45</xdr:row>
          <xdr:rowOff>91440</xdr:rowOff>
        </xdr:from>
        <xdr:to>
          <xdr:col>5</xdr:col>
          <xdr:colOff>38100</xdr:colOff>
          <xdr:row>48</xdr:row>
          <xdr:rowOff>83820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9</xdr:col>
      <xdr:colOff>106680</xdr:colOff>
      <xdr:row>15</xdr:row>
      <xdr:rowOff>167640</xdr:rowOff>
    </xdr:from>
    <xdr:to>
      <xdr:col>18</xdr:col>
      <xdr:colOff>450120</xdr:colOff>
      <xdr:row>31</xdr:row>
      <xdr:rowOff>99239</xdr:rowOff>
    </xdr:to>
    <xdr:grpSp>
      <xdr:nvGrpSpPr>
        <xdr:cNvPr id="4" name="グループ化 3">
          <a:extLst>
            <a:ext uri="{FF2B5EF4-FFF2-40B4-BE49-F238E27FC236}">
              <a16:creationId xmlns:a16="http://schemas.microsoft.com/office/drawing/2014/main" id="{00000000-0008-0000-0300-000004000000}"/>
            </a:ext>
          </a:extLst>
        </xdr:cNvPr>
        <xdr:cNvGrpSpPr/>
      </xdr:nvGrpSpPr>
      <xdr:grpSpPr>
        <a:xfrm>
          <a:off x="5554980" y="2994660"/>
          <a:ext cx="6378480" cy="2735759"/>
          <a:chOff x="5227320" y="822960"/>
          <a:chExt cx="6378480" cy="2385239"/>
        </a:xfrm>
      </xdr:grpSpPr>
      <xdr:pic>
        <xdr:nvPicPr>
          <xdr:cNvPr id="5" name="図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5372100" y="1143000"/>
            <a:ext cx="6233700" cy="2065199"/>
          </a:xfrm>
          <a:prstGeom prst="rect">
            <a:avLst/>
          </a:prstGeom>
        </xdr:spPr>
      </xdr:pic>
      <xdr:sp macro="" textlink="">
        <xdr:nvSpPr>
          <xdr:cNvPr id="3" name="四角形: 角を丸くする 2">
            <a:extLst>
              <a:ext uri="{FF2B5EF4-FFF2-40B4-BE49-F238E27FC236}">
                <a16:creationId xmlns:a16="http://schemas.microsoft.com/office/drawing/2014/main" id="{00000000-0008-0000-0300-000003000000}"/>
              </a:ext>
            </a:extLst>
          </xdr:cNvPr>
          <xdr:cNvSpPr/>
        </xdr:nvSpPr>
        <xdr:spPr>
          <a:xfrm>
            <a:off x="5334001" y="2506981"/>
            <a:ext cx="1356360" cy="198119"/>
          </a:xfrm>
          <a:prstGeom prst="roundRect">
            <a:avLst/>
          </a:prstGeom>
          <a:noFill/>
          <a:ln w="28575" cap="flat" cmpd="sng" algn="ctr">
            <a:solidFill>
              <a:srgbClr val="FF0000"/>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sp macro="" textlink="">
        <xdr:nvSpPr>
          <xdr:cNvPr id="14" name="四角形: 角を丸くする 13">
            <a:extLst>
              <a:ext uri="{FF2B5EF4-FFF2-40B4-BE49-F238E27FC236}">
                <a16:creationId xmlns:a16="http://schemas.microsoft.com/office/drawing/2014/main" id="{00000000-0008-0000-0300-00000E000000}"/>
              </a:ext>
            </a:extLst>
          </xdr:cNvPr>
          <xdr:cNvSpPr/>
        </xdr:nvSpPr>
        <xdr:spPr>
          <a:xfrm>
            <a:off x="5364480" y="2034541"/>
            <a:ext cx="1699259" cy="472439"/>
          </a:xfrm>
          <a:prstGeom prst="roundRect">
            <a:avLst/>
          </a:prstGeom>
          <a:noFill/>
          <a:ln w="28575" cap="flat" cmpd="sng" algn="ctr">
            <a:solidFill>
              <a:srgbClr val="0000FF"/>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sp macro="" textlink="">
        <xdr:nvSpPr>
          <xdr:cNvPr id="16" name="四角形: 角を丸くする 15">
            <a:extLst>
              <a:ext uri="{FF2B5EF4-FFF2-40B4-BE49-F238E27FC236}">
                <a16:creationId xmlns:a16="http://schemas.microsoft.com/office/drawing/2014/main" id="{00000000-0008-0000-0300-000010000000}"/>
              </a:ext>
            </a:extLst>
          </xdr:cNvPr>
          <xdr:cNvSpPr/>
        </xdr:nvSpPr>
        <xdr:spPr>
          <a:xfrm>
            <a:off x="9685020" y="1790700"/>
            <a:ext cx="1539240" cy="342900"/>
          </a:xfrm>
          <a:prstGeom prst="roundRect">
            <a:avLst/>
          </a:prstGeom>
          <a:noFill/>
          <a:ln w="28575" cap="flat" cmpd="sng" algn="ctr">
            <a:solidFill>
              <a:srgbClr val="FFC000"/>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sp macro="" textlink="">
        <xdr:nvSpPr>
          <xdr:cNvPr id="2" name="テキスト ボックス 1">
            <a:extLst>
              <a:ext uri="{FF2B5EF4-FFF2-40B4-BE49-F238E27FC236}">
                <a16:creationId xmlns:a16="http://schemas.microsoft.com/office/drawing/2014/main" id="{00000000-0008-0000-0300-000002000000}"/>
              </a:ext>
            </a:extLst>
          </xdr:cNvPr>
          <xdr:cNvSpPr txBox="1"/>
        </xdr:nvSpPr>
        <xdr:spPr>
          <a:xfrm>
            <a:off x="5227320" y="822960"/>
            <a:ext cx="960120" cy="3467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＜実行例＞</a:t>
            </a:r>
          </a:p>
        </xdr:txBody>
      </xdr:sp>
    </xdr:grpSp>
    <xdr:clientData/>
  </xdr:twoCellAnchor>
  <xdr:twoCellAnchor editAs="oneCell">
    <xdr:from>
      <xdr:col>3</xdr:col>
      <xdr:colOff>0</xdr:colOff>
      <xdr:row>133</xdr:row>
      <xdr:rowOff>0</xdr:rowOff>
    </xdr:from>
    <xdr:to>
      <xdr:col>13</xdr:col>
      <xdr:colOff>389235</xdr:colOff>
      <xdr:row>135</xdr:row>
      <xdr:rowOff>99099</xdr:rowOff>
    </xdr:to>
    <xdr:pic>
      <xdr:nvPicPr>
        <xdr:cNvPr id="27" name="図 26">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2"/>
        <a:stretch>
          <a:fillRect/>
        </a:stretch>
      </xdr:blipFill>
      <xdr:spPr>
        <a:xfrm>
          <a:off x="1424940" y="27096720"/>
          <a:ext cx="7094835" cy="44961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350520</xdr:colOff>
          <xdr:row>122</xdr:row>
          <xdr:rowOff>83820</xdr:rowOff>
        </xdr:from>
        <xdr:to>
          <xdr:col>6</xdr:col>
          <xdr:colOff>495300</xdr:colOff>
          <xdr:row>125</xdr:row>
          <xdr:rowOff>76200</xdr:rowOff>
        </xdr:to>
        <xdr:sp macro="" textlink="">
          <xdr:nvSpPr>
            <xdr:cNvPr id="3083" name="Object 11" hidden="1">
              <a:extLst>
                <a:ext uri="{63B3BB69-23CF-44E3-9099-C40C66FF867C}">
                  <a14:compatExt spid="_x0000_s3083"/>
                </a:ext>
                <a:ext uri="{FF2B5EF4-FFF2-40B4-BE49-F238E27FC236}">
                  <a16:creationId xmlns:a16="http://schemas.microsoft.com/office/drawing/2014/main" id="{00000000-0008-0000-0300-00000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2</xdr:col>
      <xdr:colOff>632460</xdr:colOff>
      <xdr:row>138</xdr:row>
      <xdr:rowOff>121920</xdr:rowOff>
    </xdr:from>
    <xdr:to>
      <xdr:col>16</xdr:col>
      <xdr:colOff>557067</xdr:colOff>
      <xdr:row>160</xdr:row>
      <xdr:rowOff>99392</xdr:rowOff>
    </xdr:to>
    <xdr:grpSp>
      <xdr:nvGrpSpPr>
        <xdr:cNvPr id="42" name="グループ化 41">
          <a:extLst>
            <a:ext uri="{FF2B5EF4-FFF2-40B4-BE49-F238E27FC236}">
              <a16:creationId xmlns:a16="http://schemas.microsoft.com/office/drawing/2014/main" id="{00000000-0008-0000-0300-00002A000000}"/>
            </a:ext>
          </a:extLst>
        </xdr:cNvPr>
        <xdr:cNvGrpSpPr/>
      </xdr:nvGrpSpPr>
      <xdr:grpSpPr>
        <a:xfrm>
          <a:off x="1386840" y="24620220"/>
          <a:ext cx="9312447" cy="3833192"/>
          <a:chOff x="1386840" y="28125420"/>
          <a:chExt cx="9312447" cy="3833192"/>
        </a:xfrm>
      </xdr:grpSpPr>
      <xdr:pic>
        <xdr:nvPicPr>
          <xdr:cNvPr id="35" name="図 34">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3"/>
          <a:stretch>
            <a:fillRect/>
          </a:stretch>
        </xdr:blipFill>
        <xdr:spPr>
          <a:xfrm>
            <a:off x="1386840" y="28125420"/>
            <a:ext cx="9312447" cy="3833192"/>
          </a:xfrm>
          <a:prstGeom prst="rect">
            <a:avLst/>
          </a:prstGeom>
        </xdr:spPr>
      </xdr:pic>
      <xdr:sp macro="" textlink="">
        <xdr:nvSpPr>
          <xdr:cNvPr id="22" name="四角形: 角を丸くする 21">
            <a:extLst>
              <a:ext uri="{FF2B5EF4-FFF2-40B4-BE49-F238E27FC236}">
                <a16:creationId xmlns:a16="http://schemas.microsoft.com/office/drawing/2014/main" id="{00000000-0008-0000-0300-000016000000}"/>
              </a:ext>
            </a:extLst>
          </xdr:cNvPr>
          <xdr:cNvSpPr/>
        </xdr:nvSpPr>
        <xdr:spPr>
          <a:xfrm>
            <a:off x="6957060" y="28346400"/>
            <a:ext cx="342900" cy="259080"/>
          </a:xfrm>
          <a:prstGeom prst="roundRect">
            <a:avLst/>
          </a:prstGeom>
          <a:noFill/>
          <a:ln w="28575" cap="flat" cmpd="sng" algn="ctr">
            <a:solidFill>
              <a:srgbClr val="FF0000"/>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sp macro="" textlink="">
        <xdr:nvSpPr>
          <xdr:cNvPr id="23" name="四角形: 角を丸くする 22">
            <a:extLst>
              <a:ext uri="{FF2B5EF4-FFF2-40B4-BE49-F238E27FC236}">
                <a16:creationId xmlns:a16="http://schemas.microsoft.com/office/drawing/2014/main" id="{00000000-0008-0000-0300-000017000000}"/>
              </a:ext>
            </a:extLst>
          </xdr:cNvPr>
          <xdr:cNvSpPr/>
        </xdr:nvSpPr>
        <xdr:spPr>
          <a:xfrm>
            <a:off x="1402080" y="28849320"/>
            <a:ext cx="906780" cy="175260"/>
          </a:xfrm>
          <a:prstGeom prst="roundRect">
            <a:avLst/>
          </a:prstGeom>
          <a:noFill/>
          <a:ln w="28575" cap="flat" cmpd="sng" algn="ctr">
            <a:solidFill>
              <a:srgbClr val="FF0000"/>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sp macro="" textlink="">
        <xdr:nvSpPr>
          <xdr:cNvPr id="24" name="テキスト ボックス 23">
            <a:extLst>
              <a:ext uri="{FF2B5EF4-FFF2-40B4-BE49-F238E27FC236}">
                <a16:creationId xmlns:a16="http://schemas.microsoft.com/office/drawing/2014/main" id="{00000000-0008-0000-0300-000018000000}"/>
              </a:ext>
            </a:extLst>
          </xdr:cNvPr>
          <xdr:cNvSpPr txBox="1"/>
        </xdr:nvSpPr>
        <xdr:spPr>
          <a:xfrm>
            <a:off x="4549140" y="28971240"/>
            <a:ext cx="5158740" cy="232410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ja-JP" altLang="en-US" sz="1100"/>
              <a:t>引数で指定した</a:t>
            </a:r>
            <a:r>
              <a:rPr kumimoji="1" lang="en-US" altLang="ja-JP" sz="1100"/>
              <a:t>Polynominal</a:t>
            </a:r>
            <a:r>
              <a:rPr kumimoji="1" lang="ja-JP" altLang="en-US" sz="1100"/>
              <a:t>値（生成多項式から計算した結果）と、計算結果の</a:t>
            </a:r>
            <a:r>
              <a:rPr kumimoji="1" lang="en-US" altLang="ja-JP" sz="1100"/>
              <a:t>Look up table</a:t>
            </a:r>
            <a:r>
              <a:rPr kumimoji="1" lang="ja-JP" altLang="en-US" sz="1100"/>
              <a:t>の配列</a:t>
            </a:r>
            <a:r>
              <a:rPr kumimoji="1" lang="en-US" altLang="ja-JP" sz="1100"/>
              <a:t>[1]</a:t>
            </a:r>
            <a:r>
              <a:rPr kumimoji="1" lang="ja-JP" altLang="en-US" sz="1100"/>
              <a:t>の値は一致する。</a:t>
            </a:r>
            <a:endParaRPr kumimoji="1" lang="en-US" altLang="ja-JP" sz="1100"/>
          </a:p>
          <a:p>
            <a:r>
              <a:rPr kumimoji="1" lang="ja-JP" altLang="en-US" sz="1100"/>
              <a:t>この例では、引数</a:t>
            </a:r>
            <a:r>
              <a:rPr kumimoji="1" lang="en-US" altLang="ja-JP" sz="1100"/>
              <a:t>29</a:t>
            </a:r>
            <a:r>
              <a:rPr kumimoji="1" lang="ja-JP" altLang="en-US" sz="1100"/>
              <a:t>（</a:t>
            </a:r>
            <a:r>
              <a:rPr kumimoji="1" lang="en-US" altLang="ja-JP" sz="1100"/>
              <a:t>Decimal</a:t>
            </a:r>
            <a:r>
              <a:rPr kumimoji="1" lang="ja-JP" altLang="en-US" sz="1100"/>
              <a:t>）は</a:t>
            </a:r>
            <a:r>
              <a:rPr kumimoji="1" lang="en-US" altLang="ja-JP" sz="1100"/>
              <a:t>Polynominal</a:t>
            </a:r>
            <a:r>
              <a:rPr kumimoji="1" lang="ja-JP" altLang="en-US" sz="1100"/>
              <a:t>値</a:t>
            </a:r>
            <a:r>
              <a:rPr kumimoji="1" lang="en-US" altLang="ja-JP" sz="1100"/>
              <a:t>0x1D</a:t>
            </a:r>
            <a:r>
              <a:rPr kumimoji="1" lang="ja-JP" altLang="en-US" sz="1100"/>
              <a:t>で一致している。</a:t>
            </a:r>
          </a:p>
        </xdr:txBody>
      </xdr:sp>
      <xdr:cxnSp macro="">
        <xdr:nvCxnSpPr>
          <xdr:cNvPr id="25" name="直線矢印コネクタ 24">
            <a:extLst>
              <a:ext uri="{FF2B5EF4-FFF2-40B4-BE49-F238E27FC236}">
                <a16:creationId xmlns:a16="http://schemas.microsoft.com/office/drawing/2014/main" id="{00000000-0008-0000-0300-000019000000}"/>
              </a:ext>
            </a:extLst>
          </xdr:cNvPr>
          <xdr:cNvCxnSpPr>
            <a:stCxn id="24" idx="0"/>
            <a:endCxn id="22" idx="2"/>
          </xdr:cNvCxnSpPr>
        </xdr:nvCxnSpPr>
        <xdr:spPr>
          <a:xfrm flipV="1">
            <a:off x="7128510" y="28605480"/>
            <a:ext cx="0" cy="36576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 name="直線矢印コネクタ 25">
            <a:extLst>
              <a:ext uri="{FF2B5EF4-FFF2-40B4-BE49-F238E27FC236}">
                <a16:creationId xmlns:a16="http://schemas.microsoft.com/office/drawing/2014/main" id="{00000000-0008-0000-0300-00001A000000}"/>
              </a:ext>
            </a:extLst>
          </xdr:cNvPr>
          <xdr:cNvCxnSpPr>
            <a:stCxn id="24" idx="1"/>
            <a:endCxn id="23" idx="3"/>
          </xdr:cNvCxnSpPr>
        </xdr:nvCxnSpPr>
        <xdr:spPr>
          <a:xfrm flipH="1" flipV="1">
            <a:off x="2308860" y="28936950"/>
            <a:ext cx="2240280" cy="11963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pic>
        <xdr:nvPicPr>
          <xdr:cNvPr id="32" name="図 31">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4"/>
          <a:stretch>
            <a:fillRect/>
          </a:stretch>
        </xdr:blipFill>
        <xdr:spPr>
          <a:xfrm>
            <a:off x="5074920" y="29809441"/>
            <a:ext cx="2493264" cy="1432560"/>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2</xdr:col>
          <xdr:colOff>601980</xdr:colOff>
          <xdr:row>165</xdr:row>
          <xdr:rowOff>68580</xdr:rowOff>
        </xdr:from>
        <xdr:to>
          <xdr:col>5</xdr:col>
          <xdr:colOff>22860</xdr:colOff>
          <xdr:row>168</xdr:row>
          <xdr:rowOff>60960</xdr:rowOff>
        </xdr:to>
        <xdr:sp macro="" textlink="">
          <xdr:nvSpPr>
            <xdr:cNvPr id="3084" name="Object 12" hidden="1">
              <a:extLst>
                <a:ext uri="{63B3BB69-23CF-44E3-9099-C40C66FF867C}">
                  <a14:compatExt spid="_x0000_s3084"/>
                </a:ext>
                <a:ext uri="{FF2B5EF4-FFF2-40B4-BE49-F238E27FC236}">
                  <a16:creationId xmlns:a16="http://schemas.microsoft.com/office/drawing/2014/main" id="{55B15BE4-0C3F-1C89-25E0-43D3CFAC2BD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editAs="oneCell">
    <xdr:from>
      <xdr:col>2</xdr:col>
      <xdr:colOff>579120</xdr:colOff>
      <xdr:row>177</xdr:row>
      <xdr:rowOff>137160</xdr:rowOff>
    </xdr:from>
    <xdr:to>
      <xdr:col>6</xdr:col>
      <xdr:colOff>609835</xdr:colOff>
      <xdr:row>193</xdr:row>
      <xdr:rowOff>122162</xdr:rowOff>
    </xdr:to>
    <xdr:pic>
      <xdr:nvPicPr>
        <xdr:cNvPr id="6" name="図 5">
          <a:extLst>
            <a:ext uri="{FF2B5EF4-FFF2-40B4-BE49-F238E27FC236}">
              <a16:creationId xmlns:a16="http://schemas.microsoft.com/office/drawing/2014/main" id="{D5B83E6F-3B73-4113-A66A-1D95EE27FA72}"/>
            </a:ext>
          </a:extLst>
        </xdr:cNvPr>
        <xdr:cNvPicPr>
          <a:picLocks noChangeAspect="1"/>
        </xdr:cNvPicPr>
      </xdr:nvPicPr>
      <xdr:blipFill>
        <a:blip xmlns:r="http://schemas.openxmlformats.org/officeDocument/2006/relationships" r:embed="rId5"/>
        <a:stretch>
          <a:fillRect/>
        </a:stretch>
      </xdr:blipFill>
      <xdr:spPr>
        <a:xfrm>
          <a:off x="1333500" y="35532060"/>
          <a:ext cx="2712955" cy="2789162"/>
        </a:xfrm>
        <a:prstGeom prst="rect">
          <a:avLst/>
        </a:prstGeom>
        <a:ln>
          <a:solidFill>
            <a:schemeClr val="accent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114301</xdr:colOff>
      <xdr:row>63</xdr:row>
      <xdr:rowOff>68582</xdr:rowOff>
    </xdr:from>
    <xdr:to>
      <xdr:col>5</xdr:col>
      <xdr:colOff>118478</xdr:colOff>
      <xdr:row>66</xdr:row>
      <xdr:rowOff>29866</xdr:rowOff>
    </xdr:to>
    <xdr:pic>
      <xdr:nvPicPr>
        <xdr:cNvPr id="3" name="図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2377441" y="13990322"/>
          <a:ext cx="674737" cy="647084"/>
        </a:xfrm>
        <a:prstGeom prst="rect">
          <a:avLst/>
        </a:prstGeom>
      </xdr:spPr>
    </xdr:pic>
    <xdr:clientData/>
  </xdr:twoCellAnchor>
  <xdr:twoCellAnchor editAs="oneCell">
    <xdr:from>
      <xdr:col>4</xdr:col>
      <xdr:colOff>114301</xdr:colOff>
      <xdr:row>66</xdr:row>
      <xdr:rowOff>45721</xdr:rowOff>
    </xdr:from>
    <xdr:to>
      <xdr:col>5</xdr:col>
      <xdr:colOff>129540</xdr:colOff>
      <xdr:row>68</xdr:row>
      <xdr:rowOff>206725</xdr:rowOff>
    </xdr:to>
    <xdr:pic>
      <xdr:nvPicPr>
        <xdr:cNvPr id="4" name="図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2377441" y="14653261"/>
          <a:ext cx="685799" cy="618204"/>
        </a:xfrm>
        <a:prstGeom prst="rect">
          <a:avLst/>
        </a:prstGeom>
      </xdr:spPr>
    </xdr:pic>
    <xdr:clientData/>
  </xdr:twoCellAnchor>
  <xdr:twoCellAnchor editAs="oneCell">
    <xdr:from>
      <xdr:col>1</xdr:col>
      <xdr:colOff>617221</xdr:colOff>
      <xdr:row>26</xdr:row>
      <xdr:rowOff>99060</xdr:rowOff>
    </xdr:from>
    <xdr:to>
      <xdr:col>8</xdr:col>
      <xdr:colOff>160020</xdr:colOff>
      <xdr:row>35</xdr:row>
      <xdr:rowOff>78956</xdr:rowOff>
    </xdr:to>
    <xdr:pic>
      <xdr:nvPicPr>
        <xdr:cNvPr id="5" name="図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stretch>
          <a:fillRect/>
        </a:stretch>
      </xdr:blipFill>
      <xdr:spPr>
        <a:xfrm>
          <a:off x="1005841" y="5105400"/>
          <a:ext cx="4183379" cy="2037296"/>
        </a:xfrm>
        <a:prstGeom prst="rect">
          <a:avLst/>
        </a:prstGeom>
      </xdr:spPr>
    </xdr:pic>
    <xdr:clientData/>
  </xdr:twoCellAnchor>
  <xdr:twoCellAnchor editAs="oneCell">
    <xdr:from>
      <xdr:col>8</xdr:col>
      <xdr:colOff>91440</xdr:colOff>
      <xdr:row>27</xdr:row>
      <xdr:rowOff>45720</xdr:rowOff>
    </xdr:from>
    <xdr:to>
      <xdr:col>15</xdr:col>
      <xdr:colOff>231647</xdr:colOff>
      <xdr:row>34</xdr:row>
      <xdr:rowOff>121920</xdr:rowOff>
    </xdr:to>
    <xdr:pic>
      <xdr:nvPicPr>
        <xdr:cNvPr id="6" name="図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a:stretch>
          <a:fillRect/>
        </a:stretch>
      </xdr:blipFill>
      <xdr:spPr>
        <a:xfrm>
          <a:off x="5173980" y="5280660"/>
          <a:ext cx="4834127" cy="1676400"/>
        </a:xfrm>
        <a:prstGeom prst="rect">
          <a:avLst/>
        </a:prstGeom>
      </xdr:spPr>
    </xdr:pic>
    <xdr:clientData/>
  </xdr:twoCellAnchor>
  <xdr:twoCellAnchor>
    <xdr:from>
      <xdr:col>8</xdr:col>
      <xdr:colOff>144780</xdr:colOff>
      <xdr:row>32</xdr:row>
      <xdr:rowOff>60960</xdr:rowOff>
    </xdr:from>
    <xdr:to>
      <xdr:col>10</xdr:col>
      <xdr:colOff>441960</xdr:colOff>
      <xdr:row>34</xdr:row>
      <xdr:rowOff>129540</xdr:rowOff>
    </xdr:to>
    <xdr:sp macro="" textlink="">
      <xdr:nvSpPr>
        <xdr:cNvPr id="7" name="四角形: 角を丸くする 6">
          <a:extLst>
            <a:ext uri="{FF2B5EF4-FFF2-40B4-BE49-F238E27FC236}">
              <a16:creationId xmlns:a16="http://schemas.microsoft.com/office/drawing/2014/main" id="{00000000-0008-0000-0400-000007000000}"/>
            </a:ext>
          </a:extLst>
        </xdr:cNvPr>
        <xdr:cNvSpPr/>
      </xdr:nvSpPr>
      <xdr:spPr>
        <a:xfrm>
          <a:off x="5227320" y="6438900"/>
          <a:ext cx="1638300" cy="525780"/>
        </a:xfrm>
        <a:prstGeom prst="roundRect">
          <a:avLst/>
        </a:prstGeom>
        <a:noFill/>
        <a:ln w="28575" cap="flat" cmpd="sng" algn="ctr">
          <a:solidFill>
            <a:srgbClr val="FF0000"/>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clientData/>
  </xdr:twoCellAnchor>
  <xdr:twoCellAnchor editAs="oneCell">
    <xdr:from>
      <xdr:col>2</xdr:col>
      <xdr:colOff>167640</xdr:colOff>
      <xdr:row>73</xdr:row>
      <xdr:rowOff>76200</xdr:rowOff>
    </xdr:from>
    <xdr:to>
      <xdr:col>9</xdr:col>
      <xdr:colOff>244256</xdr:colOff>
      <xdr:row>93</xdr:row>
      <xdr:rowOff>98290</xdr:rowOff>
    </xdr:to>
    <xdr:pic>
      <xdr:nvPicPr>
        <xdr:cNvPr id="9" name="図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5"/>
        <a:stretch>
          <a:fillRect/>
        </a:stretch>
      </xdr:blipFill>
      <xdr:spPr>
        <a:xfrm>
          <a:off x="1226820" y="11026140"/>
          <a:ext cx="4770536" cy="3687310"/>
        </a:xfrm>
        <a:prstGeom prst="rect">
          <a:avLst/>
        </a:prstGeom>
      </xdr:spPr>
    </xdr:pic>
    <xdr:clientData/>
  </xdr:twoCellAnchor>
  <xdr:twoCellAnchor>
    <xdr:from>
      <xdr:col>9</xdr:col>
      <xdr:colOff>358140</xdr:colOff>
      <xdr:row>73</xdr:row>
      <xdr:rowOff>106680</xdr:rowOff>
    </xdr:from>
    <xdr:to>
      <xdr:col>16</xdr:col>
      <xdr:colOff>182880</xdr:colOff>
      <xdr:row>96</xdr:row>
      <xdr:rowOff>45720</xdr:rowOff>
    </xdr:to>
    <xdr:sp macro="" textlink="">
      <xdr:nvSpPr>
        <xdr:cNvPr id="10" name="テキスト ボックス 9">
          <a:extLst>
            <a:ext uri="{FF2B5EF4-FFF2-40B4-BE49-F238E27FC236}">
              <a16:creationId xmlns:a16="http://schemas.microsoft.com/office/drawing/2014/main" id="{00000000-0008-0000-0400-00000A000000}"/>
            </a:ext>
          </a:extLst>
        </xdr:cNvPr>
        <xdr:cNvSpPr txBox="1"/>
      </xdr:nvSpPr>
      <xdr:spPr>
        <a:xfrm>
          <a:off x="5974080" y="16543020"/>
          <a:ext cx="4518660" cy="413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 -*- coding: utf-8 -*-</a:t>
          </a:r>
        </a:p>
        <a:p>
          <a:r>
            <a:rPr kumimoji="1" lang="en-US" altLang="ja-JP" sz="1100"/>
            <a:t>from pyxcp import checksum</a:t>
          </a:r>
        </a:p>
        <a:p>
          <a:endParaRPr kumimoji="1" lang="en-US" altLang="ja-JP" sz="1100"/>
        </a:p>
        <a:p>
          <a:r>
            <a:rPr kumimoji="1" lang="en-US" altLang="ja-JP" sz="1100"/>
            <a:t># CRC_type = "XCP_CRC_16"</a:t>
          </a:r>
        </a:p>
        <a:p>
          <a:r>
            <a:rPr kumimoji="1" lang="en-US" altLang="ja-JP" sz="1100"/>
            <a:t>CRC_type = "XCP_CRC_16_CITT"</a:t>
          </a:r>
        </a:p>
        <a:p>
          <a:r>
            <a:rPr kumimoji="1" lang="en-US" altLang="ja-JP" sz="1100"/>
            <a:t>data = bytes(</a:t>
          </a:r>
        </a:p>
        <a:p>
          <a:r>
            <a:rPr kumimoji="1" lang="en-US" altLang="ja-JP" sz="1100"/>
            <a:t>    (</a:t>
          </a:r>
        </a:p>
        <a:p>
          <a:r>
            <a:rPr kumimoji="1" lang="en-US" altLang="ja-JP" sz="1100"/>
            <a:t>        0xFF,</a:t>
          </a:r>
        </a:p>
        <a:p>
          <a:r>
            <a:rPr kumimoji="1" lang="en-US" altLang="ja-JP" sz="1100"/>
            <a:t>        0x09,</a:t>
          </a:r>
        </a:p>
        <a:p>
          <a:r>
            <a:rPr kumimoji="1" lang="en-US" altLang="ja-JP" sz="1100"/>
            <a:t>        0x09,</a:t>
          </a:r>
        </a:p>
        <a:p>
          <a:r>
            <a:rPr kumimoji="1" lang="en-US" altLang="ja-JP" sz="1100"/>
            <a:t>        0x0A,</a:t>
          </a:r>
        </a:p>
        <a:p>
          <a:r>
            <a:rPr kumimoji="1" lang="en-US" altLang="ja-JP" sz="1100"/>
            <a:t>        0x0A,</a:t>
          </a:r>
        </a:p>
        <a:p>
          <a:r>
            <a:rPr kumimoji="1" lang="en-US" altLang="ja-JP" sz="1100"/>
            <a:t>    )</a:t>
          </a:r>
        </a:p>
        <a:p>
          <a:r>
            <a:rPr kumimoji="1" lang="en-US" altLang="ja-JP" sz="1100"/>
            <a:t>)</a:t>
          </a:r>
        </a:p>
        <a:p>
          <a:endParaRPr kumimoji="1" lang="en-US" altLang="ja-JP" sz="1100"/>
        </a:p>
        <a:p>
          <a:r>
            <a:rPr kumimoji="1" lang="en-US" altLang="ja-JP" sz="1100"/>
            <a:t>return_value_dec = checksum.check(data, CRC_type)</a:t>
          </a:r>
        </a:p>
        <a:p>
          <a:endParaRPr kumimoji="1" lang="en-US" altLang="ja-JP" sz="1100"/>
        </a:p>
        <a:p>
          <a:r>
            <a:rPr kumimoji="1" lang="en-US" altLang="ja-JP" sz="1100"/>
            <a:t>return_value_hex = str(format(return_value_dec,'04X'))</a:t>
          </a:r>
        </a:p>
        <a:p>
          <a:endParaRPr kumimoji="1" lang="en-US" altLang="ja-JP" sz="1100"/>
        </a:p>
        <a:p>
          <a:r>
            <a:rPr kumimoji="1" lang="en-US" altLang="ja-JP" sz="1100"/>
            <a:t>print(f'data = {data}')</a:t>
          </a:r>
        </a:p>
        <a:p>
          <a:r>
            <a:rPr kumimoji="1" lang="en-US" altLang="ja-JP" sz="1100"/>
            <a:t>print(f'CRC type = {CRC_type}')</a:t>
          </a:r>
        </a:p>
        <a:p>
          <a:r>
            <a:rPr kumimoji="1" lang="en-US" altLang="ja-JP" sz="1100"/>
            <a:t>print(f'0x{return_value_hex}')</a:t>
          </a:r>
          <a:endParaRPr kumimoji="1" lang="ja-JP" altLang="en-US" sz="1100"/>
        </a:p>
      </xdr:txBody>
    </xdr:sp>
    <xdr:clientData/>
  </xdr:twoCellAnchor>
  <xdr:twoCellAnchor editAs="oneCell">
    <xdr:from>
      <xdr:col>7</xdr:col>
      <xdr:colOff>72167</xdr:colOff>
      <xdr:row>106</xdr:row>
      <xdr:rowOff>64545</xdr:rowOff>
    </xdr:from>
    <xdr:to>
      <xdr:col>10</xdr:col>
      <xdr:colOff>615200</xdr:colOff>
      <xdr:row>115</xdr:row>
      <xdr:rowOff>57061</xdr:rowOff>
    </xdr:to>
    <xdr:pic>
      <xdr:nvPicPr>
        <xdr:cNvPr id="11" name="図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6"/>
        <a:stretch>
          <a:fillRect/>
        </a:stretch>
      </xdr:blipFill>
      <xdr:spPr>
        <a:xfrm>
          <a:off x="4357296" y="23130733"/>
          <a:ext cx="2560092" cy="1606163"/>
        </a:xfrm>
        <a:prstGeom prst="rect">
          <a:avLst/>
        </a:prstGeom>
      </xdr:spPr>
    </xdr:pic>
    <xdr:clientData/>
  </xdr:twoCellAnchor>
  <xdr:twoCellAnchor editAs="oneCell">
    <xdr:from>
      <xdr:col>2</xdr:col>
      <xdr:colOff>152400</xdr:colOff>
      <xdr:row>37</xdr:row>
      <xdr:rowOff>68580</xdr:rowOff>
    </xdr:from>
    <xdr:to>
      <xdr:col>12</xdr:col>
      <xdr:colOff>252050</xdr:colOff>
      <xdr:row>43</xdr:row>
      <xdr:rowOff>106802</xdr:rowOff>
    </xdr:to>
    <xdr:pic>
      <xdr:nvPicPr>
        <xdr:cNvPr id="12" name="図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7"/>
        <a:stretch>
          <a:fillRect/>
        </a:stretch>
      </xdr:blipFill>
      <xdr:spPr>
        <a:xfrm>
          <a:off x="1211580" y="7818120"/>
          <a:ext cx="6805250" cy="1409822"/>
        </a:xfrm>
        <a:prstGeom prst="rect">
          <a:avLst/>
        </a:prstGeom>
      </xdr:spPr>
    </xdr:pic>
    <xdr:clientData/>
  </xdr:twoCellAnchor>
  <xdr:twoCellAnchor editAs="oneCell">
    <xdr:from>
      <xdr:col>2</xdr:col>
      <xdr:colOff>228600</xdr:colOff>
      <xdr:row>47</xdr:row>
      <xdr:rowOff>30481</xdr:rowOff>
    </xdr:from>
    <xdr:to>
      <xdr:col>8</xdr:col>
      <xdr:colOff>192069</xdr:colOff>
      <xdr:row>54</xdr:row>
      <xdr:rowOff>121921</xdr:rowOff>
    </xdr:to>
    <xdr:pic>
      <xdr:nvPicPr>
        <xdr:cNvPr id="13" name="図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8"/>
        <a:stretch>
          <a:fillRect/>
        </a:stretch>
      </xdr:blipFill>
      <xdr:spPr>
        <a:xfrm>
          <a:off x="1150620" y="10066021"/>
          <a:ext cx="3986829" cy="1691640"/>
        </a:xfrm>
        <a:prstGeom prst="rect">
          <a:avLst/>
        </a:prstGeom>
      </xdr:spPr>
    </xdr:pic>
    <xdr:clientData/>
  </xdr:twoCellAnchor>
  <xdr:twoCellAnchor editAs="oneCell">
    <xdr:from>
      <xdr:col>9</xdr:col>
      <xdr:colOff>45721</xdr:colOff>
      <xdr:row>47</xdr:row>
      <xdr:rowOff>15241</xdr:rowOff>
    </xdr:from>
    <xdr:to>
      <xdr:col>13</xdr:col>
      <xdr:colOff>265514</xdr:colOff>
      <xdr:row>54</xdr:row>
      <xdr:rowOff>68580</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9"/>
        <a:stretch>
          <a:fillRect/>
        </a:stretch>
      </xdr:blipFill>
      <xdr:spPr>
        <a:xfrm>
          <a:off x="5661661" y="10050781"/>
          <a:ext cx="2902033" cy="1653539"/>
        </a:xfrm>
        <a:prstGeom prst="rect">
          <a:avLst/>
        </a:prstGeom>
      </xdr:spPr>
    </xdr:pic>
    <xdr:clientData/>
  </xdr:twoCellAnchor>
  <xdr:twoCellAnchor>
    <xdr:from>
      <xdr:col>9</xdr:col>
      <xdr:colOff>45720</xdr:colOff>
      <xdr:row>52</xdr:row>
      <xdr:rowOff>190500</xdr:rowOff>
    </xdr:from>
    <xdr:to>
      <xdr:col>11</xdr:col>
      <xdr:colOff>304800</xdr:colOff>
      <xdr:row>54</xdr:row>
      <xdr:rowOff>53340</xdr:rowOff>
    </xdr:to>
    <xdr:sp macro="" textlink="">
      <xdr:nvSpPr>
        <xdr:cNvPr id="15" name="四角形: 角を丸くする 14">
          <a:extLst>
            <a:ext uri="{FF2B5EF4-FFF2-40B4-BE49-F238E27FC236}">
              <a16:creationId xmlns:a16="http://schemas.microsoft.com/office/drawing/2014/main" id="{00000000-0008-0000-0400-00000F000000}"/>
            </a:ext>
          </a:extLst>
        </xdr:cNvPr>
        <xdr:cNvSpPr/>
      </xdr:nvSpPr>
      <xdr:spPr>
        <a:xfrm>
          <a:off x="5661660" y="11369040"/>
          <a:ext cx="1600200" cy="320040"/>
        </a:xfrm>
        <a:prstGeom prst="roundRect">
          <a:avLst/>
        </a:prstGeom>
        <a:noFill/>
        <a:ln w="28575" cap="flat" cmpd="sng" algn="ctr">
          <a:solidFill>
            <a:srgbClr val="FF0000"/>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clientData/>
  </xdr:twoCellAnchor>
  <xdr:twoCellAnchor editAs="oneCell">
    <xdr:from>
      <xdr:col>8</xdr:col>
      <xdr:colOff>83820</xdr:colOff>
      <xdr:row>55</xdr:row>
      <xdr:rowOff>220981</xdr:rowOff>
    </xdr:from>
    <xdr:to>
      <xdr:col>13</xdr:col>
      <xdr:colOff>663216</xdr:colOff>
      <xdr:row>60</xdr:row>
      <xdr:rowOff>129541</xdr:rowOff>
    </xdr:to>
    <xdr:pic>
      <xdr:nvPicPr>
        <xdr:cNvPr id="16" name="図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0"/>
        <a:stretch>
          <a:fillRect/>
        </a:stretch>
      </xdr:blipFill>
      <xdr:spPr>
        <a:xfrm>
          <a:off x="5029200" y="12771121"/>
          <a:ext cx="3932196" cy="1051560"/>
        </a:xfrm>
        <a:prstGeom prst="rect">
          <a:avLst/>
        </a:prstGeom>
      </xdr:spPr>
    </xdr:pic>
    <xdr:clientData/>
  </xdr:twoCellAnchor>
  <xdr:twoCellAnchor>
    <xdr:from>
      <xdr:col>9</xdr:col>
      <xdr:colOff>312420</xdr:colOff>
      <xdr:row>58</xdr:row>
      <xdr:rowOff>76200</xdr:rowOff>
    </xdr:from>
    <xdr:to>
      <xdr:col>11</xdr:col>
      <xdr:colOff>320065</xdr:colOff>
      <xdr:row>59</xdr:row>
      <xdr:rowOff>129386</xdr:rowOff>
    </xdr:to>
    <xdr:sp macro="" textlink="">
      <xdr:nvSpPr>
        <xdr:cNvPr id="17" name="四角形: 角を丸くする 16">
          <a:extLst>
            <a:ext uri="{FF2B5EF4-FFF2-40B4-BE49-F238E27FC236}">
              <a16:creationId xmlns:a16="http://schemas.microsoft.com/office/drawing/2014/main" id="{00000000-0008-0000-0400-000011000000}"/>
            </a:ext>
          </a:extLst>
        </xdr:cNvPr>
        <xdr:cNvSpPr/>
      </xdr:nvSpPr>
      <xdr:spPr>
        <a:xfrm>
          <a:off x="5928360" y="13312140"/>
          <a:ext cx="1348765" cy="281786"/>
        </a:xfrm>
        <a:prstGeom prst="roundRect">
          <a:avLst/>
        </a:prstGeom>
        <a:noFill/>
        <a:ln w="28575" cap="flat" cmpd="sng" algn="ctr">
          <a:solidFill>
            <a:srgbClr val="FF0000"/>
          </a:solidFill>
          <a:prstDash val="sysDot"/>
        </a:ln>
        <a:effectLst/>
      </xdr:spPr>
      <xdr:txBody>
        <a:bodyPr rot="0" spcFirstLastPara="0" vertOverflow="overflow" horzOverflow="overflow" vert="horz" wrap="square" lIns="90000" tIns="90000" rIns="90000" bIns="90000" numCol="1" spcCol="0" rtlCol="0" fromWordArt="0" anchor="ctr" anchorCtr="0" forceAA="0" compatLnSpc="1">
          <a:prstTxWarp prst="textNoShape">
            <a:avLst/>
          </a:prstTxWarp>
          <a:noAutofit/>
        </a:bodyPr>
        <a:lstStyle/>
        <a:p>
          <a:pPr marL="0" marR="0" indent="0" algn="ctr" defTabSz="914400" eaLnBrk="1" fontAlgn="base" latinLnBrk="0" hangingPunct="1">
            <a:lnSpc>
              <a:spcPct val="100000"/>
            </a:lnSpc>
            <a:spcBef>
              <a:spcPts val="0"/>
            </a:spcBef>
            <a:spcAft>
              <a:spcPct val="0"/>
            </a:spcAft>
            <a:buClrTx/>
            <a:buSzTx/>
            <a:buFontTx/>
            <a:buNone/>
            <a:tabLst/>
          </a:pPr>
          <a:endParaRPr kumimoji="0" lang="ja-JP" altLang="en-US" sz="1200" b="0" i="0" u="none" strike="noStrike" kern="0" cap="none" spc="0" normalizeH="0" baseline="0" noProof="0" dirty="0" err="1">
            <a:ln>
              <a:noFill/>
            </a:ln>
            <a:solidFill>
              <a:srgbClr val="000000"/>
            </a:solidFill>
            <a:effectLst/>
            <a:uLnTx/>
            <a:uFillTx/>
            <a:latin typeface="Tahoma"/>
            <a:ea typeface="+mn-ea"/>
            <a:cs typeface="Tahoma" pitchFamily="34" charset="0"/>
          </a:endParaRPr>
        </a:p>
      </xdr:txBody>
    </xdr:sp>
    <xdr:clientData/>
  </xdr:twoCellAnchor>
  <xdr:twoCellAnchor>
    <xdr:from>
      <xdr:col>11</xdr:col>
      <xdr:colOff>579120</xdr:colOff>
      <xdr:row>79</xdr:row>
      <xdr:rowOff>0</xdr:rowOff>
    </xdr:from>
    <xdr:to>
      <xdr:col>12</xdr:col>
      <xdr:colOff>510540</xdr:colOff>
      <xdr:row>86</xdr:row>
      <xdr:rowOff>121920</xdr:rowOff>
    </xdr:to>
    <xdr:sp macro="" textlink="">
      <xdr:nvSpPr>
        <xdr:cNvPr id="18" name="右中かっこ 17">
          <a:extLst>
            <a:ext uri="{FF2B5EF4-FFF2-40B4-BE49-F238E27FC236}">
              <a16:creationId xmlns:a16="http://schemas.microsoft.com/office/drawing/2014/main" id="{00000000-0008-0000-0400-000012000000}"/>
            </a:ext>
          </a:extLst>
        </xdr:cNvPr>
        <xdr:cNvSpPr/>
      </xdr:nvSpPr>
      <xdr:spPr>
        <a:xfrm>
          <a:off x="7536180" y="17876520"/>
          <a:ext cx="601980" cy="1348740"/>
        </a:xfrm>
        <a:prstGeom prst="rightBrace">
          <a:avLst>
            <a:gd name="adj1" fmla="val 18460"/>
            <a:gd name="adj2" fmla="val 50000"/>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533400</xdr:colOff>
      <xdr:row>79</xdr:row>
      <xdr:rowOff>140970</xdr:rowOff>
    </xdr:from>
    <xdr:to>
      <xdr:col>15</xdr:col>
      <xdr:colOff>586740</xdr:colOff>
      <xdr:row>83</xdr:row>
      <xdr:rowOff>121920</xdr:rowOff>
    </xdr:to>
    <xdr:sp macro="" textlink="">
      <xdr:nvSpPr>
        <xdr:cNvPr id="19" name="テキスト ボックス 18">
          <a:extLst>
            <a:ext uri="{FF2B5EF4-FFF2-40B4-BE49-F238E27FC236}">
              <a16:creationId xmlns:a16="http://schemas.microsoft.com/office/drawing/2014/main" id="{00000000-0008-0000-0400-000013000000}"/>
            </a:ext>
          </a:extLst>
        </xdr:cNvPr>
        <xdr:cNvSpPr txBox="1"/>
      </xdr:nvSpPr>
      <xdr:spPr>
        <a:xfrm>
          <a:off x="8161020" y="18017490"/>
          <a:ext cx="2065020" cy="68199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ja-JP" altLang="en-US" sz="1100"/>
            <a:t>計算対象データをタプル</a:t>
          </a:r>
          <a:endParaRPr kumimoji="1" lang="en-US" altLang="ja-JP" sz="1100"/>
        </a:p>
        <a:p>
          <a:r>
            <a:rPr kumimoji="1" lang="ja-JP" altLang="en-US" sz="1100"/>
            <a:t>（或いはリスト）で準備する</a:t>
          </a:r>
        </a:p>
      </xdr:txBody>
    </xdr:sp>
    <xdr:clientData/>
  </xdr:twoCellAnchor>
  <xdr:twoCellAnchor>
    <xdr:from>
      <xdr:col>12</xdr:col>
      <xdr:colOff>556260</xdr:colOff>
      <xdr:row>76</xdr:row>
      <xdr:rowOff>64770</xdr:rowOff>
    </xdr:from>
    <xdr:to>
      <xdr:col>15</xdr:col>
      <xdr:colOff>609600</xdr:colOff>
      <xdr:row>78</xdr:row>
      <xdr:rowOff>121920</xdr:rowOff>
    </xdr:to>
    <xdr:sp macro="" textlink="">
      <xdr:nvSpPr>
        <xdr:cNvPr id="20" name="テキスト ボックス 19">
          <a:extLst>
            <a:ext uri="{FF2B5EF4-FFF2-40B4-BE49-F238E27FC236}">
              <a16:creationId xmlns:a16="http://schemas.microsoft.com/office/drawing/2014/main" id="{00000000-0008-0000-0400-000014000000}"/>
            </a:ext>
          </a:extLst>
        </xdr:cNvPr>
        <xdr:cNvSpPr txBox="1"/>
      </xdr:nvSpPr>
      <xdr:spPr>
        <a:xfrm>
          <a:off x="8183880" y="17415510"/>
          <a:ext cx="2065020" cy="40767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en-US" altLang="ja-JP" sz="1100"/>
            <a:t>CRC</a:t>
          </a:r>
          <a:r>
            <a:rPr kumimoji="1" lang="ja-JP" altLang="en-US" sz="1100"/>
            <a:t>タイプをしていしてる</a:t>
          </a:r>
        </a:p>
      </xdr:txBody>
    </xdr:sp>
    <xdr:clientData/>
  </xdr:twoCellAnchor>
  <xdr:twoCellAnchor>
    <xdr:from>
      <xdr:col>12</xdr:col>
      <xdr:colOff>556260</xdr:colOff>
      <xdr:row>74</xdr:row>
      <xdr:rowOff>41910</xdr:rowOff>
    </xdr:from>
    <xdr:to>
      <xdr:col>15</xdr:col>
      <xdr:colOff>609600</xdr:colOff>
      <xdr:row>75</xdr:row>
      <xdr:rowOff>220980</xdr:rowOff>
    </xdr:to>
    <xdr:sp macro="" textlink="">
      <xdr:nvSpPr>
        <xdr:cNvPr id="21" name="テキスト ボックス 20">
          <a:extLst>
            <a:ext uri="{FF2B5EF4-FFF2-40B4-BE49-F238E27FC236}">
              <a16:creationId xmlns:a16="http://schemas.microsoft.com/office/drawing/2014/main" id="{00000000-0008-0000-0400-000015000000}"/>
            </a:ext>
          </a:extLst>
        </xdr:cNvPr>
        <xdr:cNvSpPr txBox="1"/>
      </xdr:nvSpPr>
      <xdr:spPr>
        <a:xfrm>
          <a:off x="8183880" y="16935450"/>
          <a:ext cx="2065020" cy="40767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ja-JP" altLang="en-US" sz="1100"/>
            <a:t>ライブラリのインポート</a:t>
          </a:r>
        </a:p>
      </xdr:txBody>
    </xdr:sp>
    <xdr:clientData/>
  </xdr:twoCellAnchor>
  <xdr:twoCellAnchor>
    <xdr:from>
      <xdr:col>14</xdr:col>
      <xdr:colOff>304800</xdr:colOff>
      <xdr:row>84</xdr:row>
      <xdr:rowOff>144780</xdr:rowOff>
    </xdr:from>
    <xdr:to>
      <xdr:col>17</xdr:col>
      <xdr:colOff>632460</xdr:colOff>
      <xdr:row>92</xdr:row>
      <xdr:rowOff>53340</xdr:rowOff>
    </xdr:to>
    <xdr:sp macro="" textlink="">
      <xdr:nvSpPr>
        <xdr:cNvPr id="22" name="テキスト ボックス 21">
          <a:extLst>
            <a:ext uri="{FF2B5EF4-FFF2-40B4-BE49-F238E27FC236}">
              <a16:creationId xmlns:a16="http://schemas.microsoft.com/office/drawing/2014/main" id="{00000000-0008-0000-0400-000016000000}"/>
            </a:ext>
          </a:extLst>
        </xdr:cNvPr>
        <xdr:cNvSpPr txBox="1"/>
      </xdr:nvSpPr>
      <xdr:spPr>
        <a:xfrm>
          <a:off x="9273540" y="18897600"/>
          <a:ext cx="2339340" cy="131064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ja-JP" altLang="en-US" sz="1100"/>
            <a:t>データと指定した</a:t>
          </a:r>
          <a:r>
            <a:rPr kumimoji="1" lang="en-US" altLang="ja-JP" sz="1100"/>
            <a:t>CRC</a:t>
          </a:r>
          <a:r>
            <a:rPr kumimoji="1" lang="ja-JP" altLang="en-US" sz="1100"/>
            <a:t>タイプを関数に引き渡している。</a:t>
          </a:r>
          <a:endParaRPr kumimoji="1" lang="en-US" altLang="ja-JP" sz="1100"/>
        </a:p>
        <a:p>
          <a:r>
            <a:rPr kumimoji="1" lang="en-US" altLang="ja-JP" sz="1100"/>
            <a:t>Initial Value</a:t>
          </a:r>
          <a:r>
            <a:rPr kumimoji="1" lang="ja-JP" altLang="en-US" sz="1100"/>
            <a:t>、</a:t>
          </a:r>
          <a:r>
            <a:rPr kumimoji="1" lang="en-US" altLang="ja-JP" sz="1100"/>
            <a:t>XOR</a:t>
          </a:r>
          <a:r>
            <a:rPr kumimoji="1" lang="ja-JP" altLang="en-US" sz="1100"/>
            <a:t>は</a:t>
          </a:r>
          <a:r>
            <a:rPr kumimoji="1" lang="en-US" altLang="ja-JP" sz="1100"/>
            <a:t>CRC</a:t>
          </a:r>
          <a:r>
            <a:rPr kumimoji="1" lang="ja-JP" altLang="en-US" sz="1100"/>
            <a:t>タイプでのみ決定しているため、（関数の外からは）指定できない事に注意</a:t>
          </a:r>
        </a:p>
      </xdr:txBody>
    </xdr:sp>
    <xdr:clientData/>
  </xdr:twoCellAnchor>
  <xdr:twoCellAnchor>
    <xdr:from>
      <xdr:col>14</xdr:col>
      <xdr:colOff>312420</xdr:colOff>
      <xdr:row>92</xdr:row>
      <xdr:rowOff>129540</xdr:rowOff>
    </xdr:from>
    <xdr:to>
      <xdr:col>17</xdr:col>
      <xdr:colOff>632460</xdr:colOff>
      <xdr:row>95</xdr:row>
      <xdr:rowOff>76200</xdr:rowOff>
    </xdr:to>
    <xdr:sp macro="" textlink="">
      <xdr:nvSpPr>
        <xdr:cNvPr id="23" name="テキスト ボックス 22">
          <a:extLst>
            <a:ext uri="{FF2B5EF4-FFF2-40B4-BE49-F238E27FC236}">
              <a16:creationId xmlns:a16="http://schemas.microsoft.com/office/drawing/2014/main" id="{00000000-0008-0000-0400-000017000000}"/>
            </a:ext>
          </a:extLst>
        </xdr:cNvPr>
        <xdr:cNvSpPr txBox="1"/>
      </xdr:nvSpPr>
      <xdr:spPr>
        <a:xfrm>
          <a:off x="9281160" y="20055840"/>
          <a:ext cx="2331720" cy="47244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en-US" altLang="ja-JP" sz="1100"/>
            <a:t>CRC</a:t>
          </a:r>
          <a:r>
            <a:rPr kumimoji="1" lang="ja-JP" altLang="en-US" sz="1100"/>
            <a:t>計算結果を表示している</a:t>
          </a:r>
        </a:p>
      </xdr:txBody>
    </xdr:sp>
    <xdr:clientData/>
  </xdr:twoCellAnchor>
  <xdr:twoCellAnchor editAs="oneCell">
    <xdr:from>
      <xdr:col>2</xdr:col>
      <xdr:colOff>190500</xdr:colOff>
      <xdr:row>94</xdr:row>
      <xdr:rowOff>60960</xdr:rowOff>
    </xdr:from>
    <xdr:to>
      <xdr:col>6</xdr:col>
      <xdr:colOff>326686</xdr:colOff>
      <xdr:row>110</xdr:row>
      <xdr:rowOff>68579</xdr:rowOff>
    </xdr:to>
    <xdr:pic>
      <xdr:nvPicPr>
        <xdr:cNvPr id="2" name="図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1"/>
        <a:stretch>
          <a:fillRect/>
        </a:stretch>
      </xdr:blipFill>
      <xdr:spPr>
        <a:xfrm>
          <a:off x="1112520" y="20337780"/>
          <a:ext cx="2818426" cy="2811779"/>
        </a:xfrm>
        <a:prstGeom prst="rect">
          <a:avLst/>
        </a:prstGeom>
      </xdr:spPr>
    </xdr:pic>
    <xdr:clientData/>
  </xdr:twoCellAnchor>
  <xdr:twoCellAnchor>
    <xdr:from>
      <xdr:col>5</xdr:col>
      <xdr:colOff>355898</xdr:colOff>
      <xdr:row>96</xdr:row>
      <xdr:rowOff>112954</xdr:rowOff>
    </xdr:from>
    <xdr:to>
      <xdr:col>11</xdr:col>
      <xdr:colOff>523539</xdr:colOff>
      <xdr:row>101</xdr:row>
      <xdr:rowOff>170328</xdr:rowOff>
    </xdr:to>
    <xdr:sp macro="" textlink="">
      <xdr:nvSpPr>
        <xdr:cNvPr id="8" name="テキスト ボックス 7">
          <a:extLst>
            <a:ext uri="{FF2B5EF4-FFF2-40B4-BE49-F238E27FC236}">
              <a16:creationId xmlns:a16="http://schemas.microsoft.com/office/drawing/2014/main" id="{00000000-0008-0000-0400-000008000000}"/>
            </a:ext>
          </a:extLst>
        </xdr:cNvPr>
        <xdr:cNvSpPr txBox="1"/>
      </xdr:nvSpPr>
      <xdr:spPr>
        <a:xfrm>
          <a:off x="3296322" y="21386201"/>
          <a:ext cx="4201758" cy="953845"/>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ja-JP" altLang="en-US" sz="1100"/>
            <a:t>対応している</a:t>
          </a:r>
          <a:r>
            <a:rPr kumimoji="1" lang="en-US" altLang="ja-JP" sz="1100"/>
            <a:t>CRC</a:t>
          </a:r>
          <a:r>
            <a:rPr kumimoji="1" lang="ja-JP" altLang="en-US" sz="1100"/>
            <a:t>の種類は</a:t>
          </a:r>
          <a:r>
            <a:rPr kumimoji="1" lang="en-US" altLang="ja-JP" sz="1100"/>
            <a:t>checksum.py</a:t>
          </a:r>
          <a:r>
            <a:rPr kumimoji="1" lang="ja-JP" altLang="en-US" sz="1100"/>
            <a:t>の</a:t>
          </a:r>
          <a:endParaRPr kumimoji="1" lang="en-US" altLang="ja-JP" sz="1100"/>
        </a:p>
        <a:p>
          <a:r>
            <a:rPr kumimoji="1" lang="en-US" altLang="ja-JP" sz="1100"/>
            <a:t>ALGO</a:t>
          </a:r>
          <a:r>
            <a:rPr kumimoji="1" lang="ja-JP" altLang="en-US" sz="1100"/>
            <a:t>の辞書データで確認できる。</a:t>
          </a:r>
          <a:endParaRPr kumimoji="1" lang="en-US" altLang="ja-JP" sz="1100"/>
        </a:p>
        <a:p>
          <a:r>
            <a:rPr kumimoji="1" lang="ja-JP" altLang="en-US" sz="1100"/>
            <a:t>標準の</a:t>
          </a:r>
          <a:r>
            <a:rPr kumimoji="1" lang="en-US" altLang="ja-JP" sz="1100"/>
            <a:t>CRC16</a:t>
          </a:r>
          <a:r>
            <a:rPr kumimoji="1" lang="ja-JP" altLang="en-US" sz="1100"/>
            <a:t>には対応しているが</a:t>
          </a:r>
          <a:r>
            <a:rPr kumimoji="1" lang="en-US" altLang="ja-JP" sz="1100"/>
            <a:t>CRC8</a:t>
          </a:r>
          <a:r>
            <a:rPr kumimoji="1" lang="ja-JP" altLang="en-US" sz="1100"/>
            <a:t>には対応していない。</a:t>
          </a:r>
        </a:p>
      </xdr:txBody>
    </xdr:sp>
    <xdr:clientData/>
  </xdr:twoCellAnchor>
  <xdr:twoCellAnchor>
    <xdr:from>
      <xdr:col>1</xdr:col>
      <xdr:colOff>342900</xdr:colOff>
      <xdr:row>125</xdr:row>
      <xdr:rowOff>114300</xdr:rowOff>
    </xdr:from>
    <xdr:to>
      <xdr:col>8</xdr:col>
      <xdr:colOff>556260</xdr:colOff>
      <xdr:row>149</xdr:row>
      <xdr:rowOff>83820</xdr:rowOff>
    </xdr:to>
    <xdr:pic>
      <xdr:nvPicPr>
        <xdr:cNvPr id="24" name="図 5">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31520" y="25930860"/>
          <a:ext cx="4770120" cy="417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365760</xdr:colOff>
      <xdr:row>154</xdr:row>
      <xdr:rowOff>15241</xdr:rowOff>
    </xdr:from>
    <xdr:to>
      <xdr:col>15</xdr:col>
      <xdr:colOff>342900</xdr:colOff>
      <xdr:row>162</xdr:row>
      <xdr:rowOff>100855</xdr:rowOff>
    </xdr:to>
    <xdr:pic>
      <xdr:nvPicPr>
        <xdr:cNvPr id="27" name="図 26">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13"/>
        <a:stretch>
          <a:fillRect/>
        </a:stretch>
      </xdr:blipFill>
      <xdr:spPr>
        <a:xfrm>
          <a:off x="6652260" y="31089601"/>
          <a:ext cx="3329940" cy="15029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160020</xdr:colOff>
      <xdr:row>10</xdr:row>
      <xdr:rowOff>7620</xdr:rowOff>
    </xdr:from>
    <xdr:to>
      <xdr:col>34</xdr:col>
      <xdr:colOff>45932</xdr:colOff>
      <xdr:row>25</xdr:row>
      <xdr:rowOff>137402</xdr:rowOff>
    </xdr:to>
    <xdr:pic>
      <xdr:nvPicPr>
        <xdr:cNvPr id="2" name="図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0104120" y="1805940"/>
          <a:ext cx="2446232" cy="2789162"/>
        </a:xfrm>
        <a:prstGeom prst="rect">
          <a:avLst/>
        </a:prstGeom>
      </xdr:spPr>
    </xdr:pic>
    <xdr:clientData/>
  </xdr:twoCellAnchor>
  <xdr:twoCellAnchor>
    <xdr:from>
      <xdr:col>14</xdr:col>
      <xdr:colOff>350520</xdr:colOff>
      <xdr:row>13</xdr:row>
      <xdr:rowOff>167640</xdr:rowOff>
    </xdr:from>
    <xdr:to>
      <xdr:col>16</xdr:col>
      <xdr:colOff>22860</xdr:colOff>
      <xdr:row>16</xdr:row>
      <xdr:rowOff>0</xdr:rowOff>
    </xdr:to>
    <xdr:sp macro="" textlink="">
      <xdr:nvSpPr>
        <xdr:cNvPr id="3" name="四角形: 角を丸くする 2">
          <a:extLst>
            <a:ext uri="{FF2B5EF4-FFF2-40B4-BE49-F238E27FC236}">
              <a16:creationId xmlns:a16="http://schemas.microsoft.com/office/drawing/2014/main" id="{00000000-0008-0000-0500-000003000000}"/>
            </a:ext>
          </a:extLst>
        </xdr:cNvPr>
        <xdr:cNvSpPr/>
      </xdr:nvSpPr>
      <xdr:spPr>
        <a:xfrm>
          <a:off x="5539740" y="2514600"/>
          <a:ext cx="403860" cy="36576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114300</xdr:colOff>
      <xdr:row>16</xdr:row>
      <xdr:rowOff>15240</xdr:rowOff>
    </xdr:from>
    <xdr:to>
      <xdr:col>26</xdr:col>
      <xdr:colOff>175260</xdr:colOff>
      <xdr:row>22</xdr:row>
      <xdr:rowOff>137160</xdr:rowOff>
    </xdr:to>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5303520" y="2895600"/>
          <a:ext cx="4450080" cy="1173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ここでは、元データの</a:t>
          </a:r>
          <a:r>
            <a:rPr kumimoji="1" lang="en-US" altLang="ja-JP" sz="1100"/>
            <a:t>LSB</a:t>
          </a:r>
          <a:r>
            <a:rPr kumimoji="1" lang="ja-JP" altLang="en-US" sz="1100"/>
            <a:t>が０になったタイミングで、</a:t>
          </a:r>
          <a:r>
            <a:rPr kumimoji="1" lang="en-US" altLang="ja-JP" sz="1100"/>
            <a:t>Final XOR</a:t>
          </a:r>
          <a:r>
            <a:rPr kumimoji="1" lang="ja-JP" altLang="en-US" sz="1100"/>
            <a:t>である</a:t>
          </a:r>
          <a:r>
            <a:rPr kumimoji="1" lang="en-US" altLang="ja-JP" sz="1100"/>
            <a:t>0xFF</a:t>
          </a:r>
          <a:r>
            <a:rPr kumimoji="1" lang="ja-JP" altLang="en-US" sz="1100"/>
            <a:t>をしているが、</a:t>
          </a:r>
          <a:r>
            <a:rPr kumimoji="1" lang="en-US" altLang="ja-JP" sz="1100"/>
            <a:t>XOR</a:t>
          </a:r>
          <a:r>
            <a:rPr kumimoji="1" lang="ja-JP" altLang="en-US" sz="1100"/>
            <a:t>をしている桁に注意。</a:t>
          </a:r>
          <a:endParaRPr kumimoji="1" lang="en-US" altLang="ja-JP" sz="1100"/>
        </a:p>
        <a:p>
          <a:r>
            <a:rPr kumimoji="1" lang="en-US" altLang="ja-JP" sz="1100" b="1"/>
            <a:t>XOR</a:t>
          </a:r>
          <a:r>
            <a:rPr kumimoji="1" lang="ja-JP" altLang="en-US" sz="1100" b="1"/>
            <a:t>の余りの</a:t>
          </a:r>
          <a:r>
            <a:rPr kumimoji="1" lang="en-US" altLang="ja-JP" sz="1100" b="1"/>
            <a:t>MSB</a:t>
          </a:r>
          <a:r>
            <a:rPr kumimoji="1" lang="ja-JP" altLang="en-US" sz="1100" b="1"/>
            <a:t>と</a:t>
          </a:r>
          <a:r>
            <a:rPr kumimoji="1" lang="en-US" altLang="ja-JP" sz="1100" b="1"/>
            <a:t>Final XOR</a:t>
          </a:r>
          <a:r>
            <a:rPr kumimoji="1" lang="ja-JP" altLang="en-US" sz="1100" b="1"/>
            <a:t>値の</a:t>
          </a:r>
          <a:r>
            <a:rPr kumimoji="1" lang="en-US" altLang="ja-JP" sz="1100" b="1"/>
            <a:t>MSB</a:t>
          </a:r>
          <a:r>
            <a:rPr kumimoji="1" lang="ja-JP" altLang="en-US" sz="1100" b="1"/>
            <a:t>を合わせて計算している。</a:t>
          </a:r>
        </a:p>
      </xdr:txBody>
    </xdr:sp>
    <xdr:clientData/>
  </xdr:twoCellAnchor>
  <xdr:twoCellAnchor>
    <xdr:from>
      <xdr:col>31</xdr:col>
      <xdr:colOff>91440</xdr:colOff>
      <xdr:row>18</xdr:row>
      <xdr:rowOff>99060</xdr:rowOff>
    </xdr:from>
    <xdr:to>
      <xdr:col>32</xdr:col>
      <xdr:colOff>129540</xdr:colOff>
      <xdr:row>20</xdr:row>
      <xdr:rowOff>114300</xdr:rowOff>
    </xdr:to>
    <xdr:sp macro="" textlink="">
      <xdr:nvSpPr>
        <xdr:cNvPr id="5" name="四角形: 角を丸くする 4">
          <a:extLst>
            <a:ext uri="{FF2B5EF4-FFF2-40B4-BE49-F238E27FC236}">
              <a16:creationId xmlns:a16="http://schemas.microsoft.com/office/drawing/2014/main" id="{00000000-0008-0000-0500-000005000000}"/>
            </a:ext>
          </a:extLst>
        </xdr:cNvPr>
        <xdr:cNvSpPr/>
      </xdr:nvSpPr>
      <xdr:spPr>
        <a:xfrm>
          <a:off x="11498580" y="3329940"/>
          <a:ext cx="403860" cy="36576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74</xdr:col>
      <xdr:colOff>342900</xdr:colOff>
      <xdr:row>43</xdr:row>
      <xdr:rowOff>51918</xdr:rowOff>
    </xdr:from>
    <xdr:to>
      <xdr:col>82</xdr:col>
      <xdr:colOff>383760</xdr:colOff>
      <xdr:row>74</xdr:row>
      <xdr:rowOff>114573</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0558760" y="6125058"/>
          <a:ext cx="3515580" cy="4314615"/>
        </a:xfrm>
        <a:prstGeom prst="rect">
          <a:avLst/>
        </a:prstGeom>
      </xdr:spPr>
    </xdr:pic>
    <xdr:clientData/>
  </xdr:twoCellAnchor>
  <xdr:twoCellAnchor>
    <xdr:from>
      <xdr:col>70</xdr:col>
      <xdr:colOff>165100</xdr:colOff>
      <xdr:row>84</xdr:row>
      <xdr:rowOff>26893</xdr:rowOff>
    </xdr:from>
    <xdr:to>
      <xdr:col>73</xdr:col>
      <xdr:colOff>50800</xdr:colOff>
      <xdr:row>86</xdr:row>
      <xdr:rowOff>63499</xdr:rowOff>
    </xdr:to>
    <xdr:sp macro="" textlink="">
      <xdr:nvSpPr>
        <xdr:cNvPr id="3" name="四角形: 角を丸くする 2">
          <a:extLst>
            <a:ext uri="{FF2B5EF4-FFF2-40B4-BE49-F238E27FC236}">
              <a16:creationId xmlns:a16="http://schemas.microsoft.com/office/drawing/2014/main" id="{00000000-0008-0000-0600-000003000000}"/>
            </a:ext>
          </a:extLst>
        </xdr:cNvPr>
        <xdr:cNvSpPr/>
      </xdr:nvSpPr>
      <xdr:spPr>
        <a:xfrm>
          <a:off x="19152347" y="11528611"/>
          <a:ext cx="835959" cy="30554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79</xdr:col>
      <xdr:colOff>101600</xdr:colOff>
      <xdr:row>59</xdr:row>
      <xdr:rowOff>10160</xdr:rowOff>
    </xdr:from>
    <xdr:to>
      <xdr:col>80</xdr:col>
      <xdr:colOff>279400</xdr:colOff>
      <xdr:row>61</xdr:row>
      <xdr:rowOff>88900</xdr:rowOff>
    </xdr:to>
    <xdr:sp macro="" textlink="">
      <xdr:nvSpPr>
        <xdr:cNvPr id="4" name="四角形: 角を丸くする 3">
          <a:extLst>
            <a:ext uri="{FF2B5EF4-FFF2-40B4-BE49-F238E27FC236}">
              <a16:creationId xmlns:a16="http://schemas.microsoft.com/office/drawing/2014/main" id="{00000000-0008-0000-0600-000004000000}"/>
            </a:ext>
          </a:extLst>
        </xdr:cNvPr>
        <xdr:cNvSpPr/>
      </xdr:nvSpPr>
      <xdr:spPr>
        <a:xfrm>
          <a:off x="22489160" y="8277860"/>
          <a:ext cx="612140" cy="35306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50800</xdr:colOff>
      <xdr:row>60</xdr:row>
      <xdr:rowOff>49530</xdr:rowOff>
    </xdr:from>
    <xdr:to>
      <xdr:col>79</xdr:col>
      <xdr:colOff>101600</xdr:colOff>
      <xdr:row>85</xdr:row>
      <xdr:rowOff>45197</xdr:rowOff>
    </xdr:to>
    <xdr:cxnSp macro="">
      <xdr:nvCxnSpPr>
        <xdr:cNvPr id="5" name="直線矢印コネクタ 4">
          <a:extLst>
            <a:ext uri="{FF2B5EF4-FFF2-40B4-BE49-F238E27FC236}">
              <a16:creationId xmlns:a16="http://schemas.microsoft.com/office/drawing/2014/main" id="{00000000-0008-0000-0600-000005000000}"/>
            </a:ext>
          </a:extLst>
        </xdr:cNvPr>
        <xdr:cNvCxnSpPr>
          <a:stCxn id="3" idx="3"/>
          <a:endCxn id="4" idx="1"/>
        </xdr:cNvCxnSpPr>
      </xdr:nvCxnSpPr>
      <xdr:spPr>
        <a:xfrm flipV="1">
          <a:off x="19988306" y="8323954"/>
          <a:ext cx="2632635" cy="335743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62</xdr:col>
      <xdr:colOff>76200</xdr:colOff>
      <xdr:row>35</xdr:row>
      <xdr:rowOff>12700</xdr:rowOff>
    </xdr:from>
    <xdr:to>
      <xdr:col>74</xdr:col>
      <xdr:colOff>381330</xdr:colOff>
      <xdr:row>64</xdr:row>
      <xdr:rowOff>91798</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2"/>
        <a:stretch>
          <a:fillRect/>
        </a:stretch>
      </xdr:blipFill>
      <xdr:spPr>
        <a:xfrm>
          <a:off x="16779240" y="4988560"/>
          <a:ext cx="3817950" cy="4056738"/>
        </a:xfrm>
        <a:prstGeom prst="rect">
          <a:avLst/>
        </a:prstGeom>
      </xdr:spPr>
    </xdr:pic>
    <xdr:clientData/>
  </xdr:twoCellAnchor>
  <xdr:twoCellAnchor>
    <xdr:from>
      <xdr:col>66</xdr:col>
      <xdr:colOff>228600</xdr:colOff>
      <xdr:row>62</xdr:row>
      <xdr:rowOff>35560</xdr:rowOff>
    </xdr:from>
    <xdr:to>
      <xdr:col>69</xdr:col>
      <xdr:colOff>38100</xdr:colOff>
      <xdr:row>64</xdr:row>
      <xdr:rowOff>114300</xdr:rowOff>
    </xdr:to>
    <xdr:sp macro="" textlink="">
      <xdr:nvSpPr>
        <xdr:cNvPr id="7" name="四角形: 角を丸くする 6">
          <a:extLst>
            <a:ext uri="{FF2B5EF4-FFF2-40B4-BE49-F238E27FC236}">
              <a16:creationId xmlns:a16="http://schemas.microsoft.com/office/drawing/2014/main" id="{00000000-0008-0000-0600-000007000000}"/>
            </a:ext>
          </a:extLst>
        </xdr:cNvPr>
        <xdr:cNvSpPr/>
      </xdr:nvSpPr>
      <xdr:spPr>
        <a:xfrm>
          <a:off x="17998440" y="8714740"/>
          <a:ext cx="609600" cy="35306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68580</xdr:colOff>
          <xdr:row>27</xdr:row>
          <xdr:rowOff>106680</xdr:rowOff>
        </xdr:from>
        <xdr:to>
          <xdr:col>30</xdr:col>
          <xdr:colOff>15240</xdr:colOff>
          <xdr:row>30</xdr:row>
          <xdr:rowOff>91440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7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66</xdr:col>
      <xdr:colOff>38100</xdr:colOff>
      <xdr:row>36</xdr:row>
      <xdr:rowOff>91440</xdr:rowOff>
    </xdr:from>
    <xdr:to>
      <xdr:col>183</xdr:col>
      <xdr:colOff>27972</xdr:colOff>
      <xdr:row>48</xdr:row>
      <xdr:rowOff>10111</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836920" y="6865620"/>
          <a:ext cx="8905272" cy="2021791"/>
        </a:xfrm>
        <a:prstGeom prst="rect">
          <a:avLst/>
        </a:prstGeom>
        <a:ln>
          <a:solidFill>
            <a:schemeClr val="accent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97d06d1\&#21451;&#27810;\&#24460;&#31361;&#65314;&#65321;&#65315;\ROH&#36039;&#26009;&#652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A1185D1\SPORTS&#20849;&#29992;(W\Ikeda\back%20up\J25AJ39A&#20778;&#31168;&#25216;&#34899;&#12522;&#12473;&#12488;Ik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96884d1\d\WINDOWS\TEMP\J29A98012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a1185D1\SPORTS&#20849;&#29992;(W\imai\J60\&#21488;&#25968;&#24773;&#22577;\Macintosh%20HD&#12450;&#12503;&#12522;&#12465;&#12540;&#12471;&#12519;&#12531;\Microsoft%20Internet%20Applications\Outlook%20Express%204.0%20&#12501;&#12457;&#12523;&#12480;\Outlook%20Express%20Temp\98_7Dome%20Pass%20DB.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AFETYWEB\&#38283;&#30330;&#36914;&#25431;\&#21488;&#25968;&#12539;&#24037;&#25968;\&#65322;&#65300;&#65304;\&#65322;&#65300;&#65304;&#65315;\&#65328;&#65321;&#65313;&#35211;&#30452;&#12375;\&#21488;&#25968;\&#65327;&#65333;&#65332;&#65328;&#65333;&#65332;\J48&#23455;&#30740;&#24037;&#2596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a1185D1\SPORTS&#20849;&#29992;(W\imai\J60\&#21488;&#25968;&#24773;&#22577;\Macintosh%20HD&#12450;&#12503;&#12522;&#12465;&#12540;&#12471;&#12519;&#12531;\Microsoft%20Internet%20Applications\Outlook%20Express%204.0%20&#12501;&#12457;&#12523;&#12480;\Outlook%20Express%20Temp\98_7Truck%20DB.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99D23D1\&#20849;&#26377;(&#31520;&#21407;)\WINDOWS\TEMP\99B%20Spec(%23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USR\RV'S\JB&#26908;&#35342;\&#38283;&#30330;&#36027;&#12414;&#12392;&#1241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AFETYWEB\&#38283;&#30330;&#36914;&#25431;\USR\RV'S\JB&#26908;&#35342;\&#38283;&#30330;&#36027;&#12414;&#12392;&#1241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97Q05D1\J60&#20849;&#29992;\J48G\J48G_Cliffor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TLDB\&#34909;&#31361;&#38283;&#20849;&#26377;\&#37096;&#20869;&#20849;&#36890;\&#20182;&#37528;&#26564;&#24773;&#22577;&#65288;&#22823;&#36032;&#65289;\&#26085;&#29987;%20March\&#9314;&#12501;&#12523;&#12521;&#12483;&#12503;\&#20006;&#21015;&#32207;&#21512;DVR\&#20006;&#21015;&#32207;&#21512;&#9312;(&#20837;&#2114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trw1-my.sharepoint.com/TRW_data/Mazda_TRW/J5LA/Specification/SD_J5LAEPB_437E0_00B_Draft_150731_Feedback.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zs680\PTCSE\Global_Architecture\engine_trans\FNA_Analysis%20Sheet_5_5_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97Q05D1\J60&#20849;&#29992;\J48G\C21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svsp1.mazda.co.jp\VSP\Documents%20and%20Settings\m071318\Local%20Settings\Temp\DSAB39-14A073-A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afetyweb\mac&#20849;&#26377;\narikawa\Book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97Q81D1\&#23433;&#20840;&#25126;&#30053;\DB\INFRA\&#9733;DB&#27969;RC.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WINDOWS\TEMP\J29A98012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97m20d1\d\WINDOWS\TEMP\J29A98012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12467;&#12473;&#12488;&#31649;&#297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T99A59D1\JET&#20013;&#35895;-2\&#26449;&#19978;\J16&#65411;&#65405;&#65412;&#65420;&#65383;&#65394;&#65433;\J16L20018006&#27491;&#31361;\20018006.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tlvideo\d\&#26449;&#19978;\&#26449;&#19978;\J48E\&#65411;&#65405;&#65412;&#65420;&#65383;&#65394;&#65433;\&#23455;&#36554;\&#12508;&#12531;&#12493;&#12483;&#12488;&#21488;&#36554;&#12486;&#12473;&#1248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A0U45D1\&#31689;&#22320;&#20849;&#26377;\J44\10%20&#12381;&#12398;&#20182;\&#65404;&#65396;&#65413;\IIHS&#65393;&#65437;&#65400;&#65438;&#65433;_20030068\IIIHS&#23455;&#36554;&#65393;&#65437;&#65400;&#65438;&#65433;&#65418;&#65438;&#65432;&#65393;2002206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ＣＡＲ"/>
      <sheetName val="報告用"/>
      <sheetName val="TOMO加工 "/>
      <sheetName val="DB-P1"/>
      <sheetName val="ｵｰﾄｸﾞﾗﾌﾃﾞｰﾀ最新版"/>
      <sheetName val="ｴﾈﾙｷﾞｰ比較"/>
      <sheetName val="採否比較金額"/>
      <sheetName val="評価比較件数"/>
    </sheetNames>
    <sheetDataSet>
      <sheetData sheetId="0" refreshError="1"/>
      <sheetData sheetId="1" refreshError="1"/>
      <sheetData sheetId="2" refreshError="1"/>
      <sheetData sheetId="3" refreshError="1"/>
      <sheetData sheetId="4" refreshError="1"/>
      <sheetData sheetId="5" refreshError="1">
        <row r="2">
          <cell r="K2" t="str">
            <v>W101</v>
          </cell>
          <cell r="L2" t="str">
            <v>W102</v>
          </cell>
          <cell r="M2" t="str">
            <v>L101</v>
          </cell>
          <cell r="N2" t="str">
            <v>W116</v>
          </cell>
          <cell r="O2" t="str">
            <v>H101</v>
          </cell>
          <cell r="P2" t="str">
            <v>L103</v>
          </cell>
          <cell r="Q2" t="str">
            <v>L104</v>
          </cell>
          <cell r="R2" t="str">
            <v>L105</v>
          </cell>
        </row>
        <row r="3">
          <cell r="K3" t="str">
            <v>Tread-Fr</v>
          </cell>
          <cell r="L3" t="str">
            <v>Tread-Rr</v>
          </cell>
          <cell r="M3" t="str">
            <v>Wheel Base</v>
          </cell>
          <cell r="N3" t="str">
            <v>Max Car Width</v>
          </cell>
          <cell r="O3" t="str">
            <v>Max Car Height</v>
          </cell>
          <cell r="P3" t="str">
            <v>Max Car Length</v>
          </cell>
          <cell r="Q3" t="str">
            <v>Fr.-Overhang</v>
          </cell>
          <cell r="R3" t="str">
            <v>Rr.-Overhang</v>
          </cell>
        </row>
        <row r="4">
          <cell r="K4" t="str">
            <v>W101</v>
          </cell>
          <cell r="L4" t="str">
            <v>W102</v>
          </cell>
          <cell r="M4" t="str">
            <v>L101</v>
          </cell>
          <cell r="N4" t="str">
            <v>W116</v>
          </cell>
          <cell r="O4" t="str">
            <v>H101</v>
          </cell>
          <cell r="P4" t="str">
            <v>L103</v>
          </cell>
          <cell r="Q4" t="str">
            <v>L104</v>
          </cell>
          <cell r="R4" t="str">
            <v>L105</v>
          </cell>
        </row>
        <row r="5">
          <cell r="K5">
            <v>1410</v>
          </cell>
          <cell r="L5">
            <v>1365</v>
          </cell>
          <cell r="M5">
            <v>2595</v>
          </cell>
          <cell r="N5">
            <v>1685</v>
          </cell>
          <cell r="O5">
            <v>1425</v>
          </cell>
          <cell r="P5">
            <v>4755</v>
          </cell>
          <cell r="Q5">
            <v>925</v>
          </cell>
          <cell r="R5">
            <v>1235</v>
          </cell>
        </row>
        <row r="6">
          <cell r="K6">
            <v>1360</v>
          </cell>
          <cell r="L6">
            <v>1366</v>
          </cell>
          <cell r="M6">
            <v>2481</v>
          </cell>
          <cell r="N6">
            <v>1630</v>
          </cell>
          <cell r="O6">
            <v>1359</v>
          </cell>
          <cell r="P6">
            <v>4059</v>
          </cell>
          <cell r="Q6">
            <v>825</v>
          </cell>
          <cell r="R6">
            <v>753</v>
          </cell>
        </row>
        <row r="7">
          <cell r="K7">
            <v>1392</v>
          </cell>
          <cell r="L7">
            <v>1358</v>
          </cell>
          <cell r="M7">
            <v>2463</v>
          </cell>
          <cell r="N7">
            <v>1614</v>
          </cell>
          <cell r="O7">
            <v>1345</v>
          </cell>
          <cell r="P7">
            <v>4004</v>
          </cell>
          <cell r="Q7">
            <v>788</v>
          </cell>
          <cell r="R7">
            <v>753</v>
          </cell>
        </row>
        <row r="8">
          <cell r="K8">
            <v>1363</v>
          </cell>
          <cell r="L8">
            <v>1353</v>
          </cell>
          <cell r="M8">
            <v>2515</v>
          </cell>
          <cell r="N8">
            <v>1632</v>
          </cell>
          <cell r="O8">
            <v>1403</v>
          </cell>
          <cell r="P8">
            <v>4398</v>
          </cell>
          <cell r="Q8">
            <v>856</v>
          </cell>
          <cell r="R8">
            <v>1027</v>
          </cell>
        </row>
        <row r="9">
          <cell r="K9">
            <v>1467</v>
          </cell>
          <cell r="L9">
            <v>1410</v>
          </cell>
          <cell r="M9">
            <v>2540</v>
          </cell>
          <cell r="N9">
            <v>1702</v>
          </cell>
          <cell r="O9">
            <v>1432</v>
          </cell>
          <cell r="P9">
            <v>4445</v>
          </cell>
          <cell r="Q9">
            <v>965</v>
          </cell>
          <cell r="R9">
            <v>940</v>
          </cell>
        </row>
        <row r="10">
          <cell r="K10">
            <v>1505</v>
          </cell>
          <cell r="L10">
            <v>1494</v>
          </cell>
          <cell r="M10">
            <v>2597</v>
          </cell>
          <cell r="N10">
            <v>1772</v>
          </cell>
          <cell r="O10">
            <v>1408</v>
          </cell>
          <cell r="P10">
            <v>4424</v>
          </cell>
          <cell r="Q10">
            <v>954</v>
          </cell>
          <cell r="R10">
            <v>873</v>
          </cell>
        </row>
        <row r="11">
          <cell r="K11">
            <v>1511</v>
          </cell>
          <cell r="L11">
            <v>1489</v>
          </cell>
          <cell r="M11">
            <v>2664</v>
          </cell>
          <cell r="N11">
            <v>1760</v>
          </cell>
          <cell r="O11">
            <v>1382</v>
          </cell>
          <cell r="P11">
            <v>4560</v>
          </cell>
          <cell r="Q11">
            <v>897</v>
          </cell>
          <cell r="R11">
            <v>999</v>
          </cell>
        </row>
        <row r="12">
          <cell r="K12">
            <v>1385</v>
          </cell>
          <cell r="L12">
            <v>1350</v>
          </cell>
          <cell r="M12">
            <v>1465</v>
          </cell>
          <cell r="N12">
            <v>1595</v>
          </cell>
          <cell r="O12">
            <v>1370</v>
          </cell>
          <cell r="P12">
            <v>3940</v>
          </cell>
          <cell r="Q12">
            <v>755</v>
          </cell>
          <cell r="R12">
            <v>720</v>
          </cell>
        </row>
        <row r="13">
          <cell r="K13">
            <v>1360</v>
          </cell>
          <cell r="L13">
            <v>1360</v>
          </cell>
          <cell r="M13">
            <v>2405</v>
          </cell>
          <cell r="N13">
            <v>1650</v>
          </cell>
          <cell r="O13">
            <v>1325</v>
          </cell>
          <cell r="P13">
            <v>4205</v>
          </cell>
          <cell r="Q13">
            <v>835</v>
          </cell>
          <cell r="R13">
            <v>965</v>
          </cell>
        </row>
        <row r="14">
          <cell r="K14">
            <v>1499</v>
          </cell>
          <cell r="L14">
            <v>1487</v>
          </cell>
          <cell r="M14">
            <v>2543</v>
          </cell>
          <cell r="N14">
            <v>1780</v>
          </cell>
          <cell r="O14">
            <v>1309</v>
          </cell>
          <cell r="P14">
            <v>4283</v>
          </cell>
          <cell r="Q14">
            <v>973</v>
          </cell>
          <cell r="R14">
            <v>767</v>
          </cell>
        </row>
        <row r="15">
          <cell r="K15">
            <v>1473</v>
          </cell>
          <cell r="L15">
            <v>1439</v>
          </cell>
          <cell r="M15">
            <v>2540</v>
          </cell>
          <cell r="N15">
            <v>1712</v>
          </cell>
          <cell r="O15">
            <v>1436</v>
          </cell>
          <cell r="P15">
            <v>4091</v>
          </cell>
          <cell r="Q15">
            <v>894</v>
          </cell>
          <cell r="R15">
            <v>656</v>
          </cell>
        </row>
        <row r="16">
          <cell r="K16">
            <v>1402</v>
          </cell>
          <cell r="L16">
            <v>1416</v>
          </cell>
          <cell r="M16">
            <v>2540</v>
          </cell>
          <cell r="N16">
            <v>1690</v>
          </cell>
          <cell r="O16">
            <v>1327</v>
          </cell>
          <cell r="P16">
            <v>4353</v>
          </cell>
          <cell r="Q16">
            <v>889</v>
          </cell>
          <cell r="R16">
            <v>924</v>
          </cell>
        </row>
        <row r="17">
          <cell r="K17">
            <v>1444</v>
          </cell>
          <cell r="L17">
            <v>1460</v>
          </cell>
          <cell r="M17">
            <v>2612</v>
          </cell>
          <cell r="N17">
            <v>1708</v>
          </cell>
          <cell r="O17">
            <v>1442</v>
          </cell>
          <cell r="P17">
            <v>4470</v>
          </cell>
          <cell r="Q17">
            <v>911</v>
          </cell>
          <cell r="R17">
            <v>947</v>
          </cell>
        </row>
        <row r="18">
          <cell r="K18">
            <v>1409</v>
          </cell>
          <cell r="L18">
            <v>1430</v>
          </cell>
          <cell r="M18">
            <v>2548</v>
          </cell>
          <cell r="N18">
            <v>1700</v>
          </cell>
          <cell r="O18">
            <v>1386</v>
          </cell>
          <cell r="P18">
            <v>4406</v>
          </cell>
          <cell r="Q18">
            <v>908</v>
          </cell>
          <cell r="R18">
            <v>950</v>
          </cell>
        </row>
        <row r="19">
          <cell r="K19">
            <v>1400</v>
          </cell>
          <cell r="L19">
            <v>1420</v>
          </cell>
          <cell r="M19">
            <v>2540</v>
          </cell>
          <cell r="N19">
            <v>1680</v>
          </cell>
          <cell r="O19">
            <v>1365</v>
          </cell>
          <cell r="P19">
            <v>4385</v>
          </cell>
          <cell r="Q19">
            <v>885</v>
          </cell>
          <cell r="R19">
            <v>960</v>
          </cell>
        </row>
        <row r="20">
          <cell r="K20">
            <v>1400</v>
          </cell>
          <cell r="L20">
            <v>1416</v>
          </cell>
          <cell r="M20">
            <v>2542</v>
          </cell>
          <cell r="N20">
            <v>1684</v>
          </cell>
          <cell r="O20">
            <v>1362</v>
          </cell>
          <cell r="P20">
            <v>4406</v>
          </cell>
          <cell r="Q20">
            <v>888</v>
          </cell>
          <cell r="R20">
            <v>976</v>
          </cell>
        </row>
        <row r="21">
          <cell r="K21">
            <v>1470</v>
          </cell>
          <cell r="L21">
            <v>1445</v>
          </cell>
          <cell r="M21">
            <v>2685</v>
          </cell>
          <cell r="N21">
            <v>1770</v>
          </cell>
          <cell r="O21">
            <v>1380</v>
          </cell>
          <cell r="P21">
            <v>4700</v>
          </cell>
          <cell r="Q21">
            <v>995</v>
          </cell>
          <cell r="R21">
            <v>1025</v>
          </cell>
        </row>
        <row r="22">
          <cell r="K22">
            <v>1530</v>
          </cell>
          <cell r="L22">
            <v>1515</v>
          </cell>
          <cell r="M22">
            <v>2689</v>
          </cell>
          <cell r="N22">
            <v>1782</v>
          </cell>
          <cell r="O22">
            <v>1425</v>
          </cell>
          <cell r="P22">
            <v>4799</v>
          </cell>
          <cell r="Q22">
            <v>1038</v>
          </cell>
          <cell r="R22">
            <v>1072</v>
          </cell>
        </row>
        <row r="23">
          <cell r="K23">
            <v>1468</v>
          </cell>
          <cell r="L23">
            <v>1466</v>
          </cell>
          <cell r="M23">
            <v>2688</v>
          </cell>
          <cell r="N23">
            <v>1812</v>
          </cell>
          <cell r="O23">
            <v>1425</v>
          </cell>
          <cell r="P23">
            <v>4790</v>
          </cell>
          <cell r="Q23">
            <v>1020</v>
          </cell>
          <cell r="R23">
            <v>1082</v>
          </cell>
        </row>
        <row r="24">
          <cell r="K24">
            <v>1470</v>
          </cell>
          <cell r="L24">
            <v>1460</v>
          </cell>
          <cell r="M24">
            <v>2688</v>
          </cell>
          <cell r="N24">
            <v>1812</v>
          </cell>
          <cell r="O24">
            <v>1418</v>
          </cell>
          <cell r="P24">
            <v>4793</v>
          </cell>
          <cell r="Q24">
            <v>1017</v>
          </cell>
          <cell r="R24">
            <v>1088</v>
          </cell>
        </row>
        <row r="26">
          <cell r="K26">
            <v>1440</v>
          </cell>
          <cell r="L26">
            <v>1442</v>
          </cell>
          <cell r="M26">
            <v>2555</v>
          </cell>
          <cell r="N26">
            <v>1706</v>
          </cell>
          <cell r="O26">
            <v>1365</v>
          </cell>
          <cell r="P26">
            <v>4402</v>
          </cell>
          <cell r="Q26">
            <v>935</v>
          </cell>
          <cell r="R26">
            <v>912</v>
          </cell>
        </row>
        <row r="27">
          <cell r="K27">
            <v>1512</v>
          </cell>
          <cell r="L27">
            <v>1482</v>
          </cell>
          <cell r="M27">
            <v>2518</v>
          </cell>
          <cell r="N27">
            <v>1736</v>
          </cell>
          <cell r="O27">
            <v>1420</v>
          </cell>
          <cell r="P27">
            <v>4153</v>
          </cell>
          <cell r="Q27">
            <v>861</v>
          </cell>
          <cell r="R27">
            <v>774</v>
          </cell>
        </row>
        <row r="28">
          <cell r="K28">
            <v>1497</v>
          </cell>
          <cell r="L28">
            <v>1472</v>
          </cell>
          <cell r="M28">
            <v>2626</v>
          </cell>
          <cell r="N28">
            <v>1733</v>
          </cell>
          <cell r="O28">
            <v>1427</v>
          </cell>
          <cell r="P28">
            <v>4472</v>
          </cell>
          <cell r="Q28">
            <v>886</v>
          </cell>
          <cell r="R28">
            <v>961</v>
          </cell>
        </row>
        <row r="29">
          <cell r="K29">
            <v>1498</v>
          </cell>
          <cell r="L29">
            <v>1477</v>
          </cell>
          <cell r="M29">
            <v>2626</v>
          </cell>
          <cell r="N29">
            <v>1730</v>
          </cell>
          <cell r="O29">
            <v>1455</v>
          </cell>
          <cell r="P29">
            <v>4469</v>
          </cell>
          <cell r="Q29">
            <v>886</v>
          </cell>
          <cell r="R29">
            <v>957</v>
          </cell>
        </row>
        <row r="30">
          <cell r="K30">
            <v>1544</v>
          </cell>
          <cell r="L30">
            <v>1560</v>
          </cell>
          <cell r="M30">
            <v>2763</v>
          </cell>
          <cell r="N30">
            <v>1804</v>
          </cell>
          <cell r="O30">
            <v>1453</v>
          </cell>
          <cell r="P30">
            <v>4803</v>
          </cell>
          <cell r="Q30">
            <v>978</v>
          </cell>
          <cell r="R30">
            <v>1062</v>
          </cell>
        </row>
        <row r="31">
          <cell r="K31">
            <v>1524</v>
          </cell>
          <cell r="L31">
            <v>1525</v>
          </cell>
          <cell r="M31">
            <v>2691</v>
          </cell>
          <cell r="N31">
            <v>1783</v>
          </cell>
          <cell r="O31">
            <v>1437</v>
          </cell>
          <cell r="P31">
            <v>4793</v>
          </cell>
          <cell r="Q31">
            <v>1019</v>
          </cell>
          <cell r="R31">
            <v>1083</v>
          </cell>
        </row>
        <row r="32">
          <cell r="K32">
            <v>1592</v>
          </cell>
          <cell r="L32">
            <v>1579</v>
          </cell>
          <cell r="M32">
            <v>2884</v>
          </cell>
          <cell r="N32">
            <v>1878</v>
          </cell>
          <cell r="O32">
            <v>1427</v>
          </cell>
          <cell r="P32">
            <v>5032</v>
          </cell>
          <cell r="Q32">
            <v>1015</v>
          </cell>
          <cell r="R32">
            <v>1132</v>
          </cell>
        </row>
        <row r="33">
          <cell r="K33">
            <v>1437</v>
          </cell>
          <cell r="L33">
            <v>1443</v>
          </cell>
          <cell r="M33">
            <v>2555</v>
          </cell>
          <cell r="N33">
            <v>1740</v>
          </cell>
          <cell r="O33">
            <v>1369</v>
          </cell>
          <cell r="P33">
            <v>4372</v>
          </cell>
          <cell r="Q33">
            <v>905</v>
          </cell>
          <cell r="R33">
            <v>911</v>
          </cell>
        </row>
        <row r="34">
          <cell r="K34">
            <v>1471</v>
          </cell>
          <cell r="L34">
            <v>1435</v>
          </cell>
          <cell r="M34">
            <v>2508</v>
          </cell>
          <cell r="N34">
            <v>1684</v>
          </cell>
          <cell r="O34">
            <v>1438</v>
          </cell>
          <cell r="P34">
            <v>4055</v>
          </cell>
          <cell r="Q34">
            <v>842</v>
          </cell>
          <cell r="R34">
            <v>705</v>
          </cell>
        </row>
        <row r="35">
          <cell r="K35">
            <v>1255</v>
          </cell>
          <cell r="L35">
            <v>1195</v>
          </cell>
          <cell r="M35">
            <v>2040</v>
          </cell>
          <cell r="N35">
            <v>1455</v>
          </cell>
          <cell r="O35">
            <v>1355</v>
          </cell>
          <cell r="P35">
            <v>3225</v>
          </cell>
          <cell r="Q35">
            <v>580</v>
          </cell>
          <cell r="R35">
            <v>600</v>
          </cell>
        </row>
        <row r="36">
          <cell r="K36">
            <v>1542</v>
          </cell>
          <cell r="L36">
            <v>1560</v>
          </cell>
          <cell r="M36">
            <v>3063</v>
          </cell>
          <cell r="N36">
            <v>1876</v>
          </cell>
          <cell r="O36">
            <v>1509</v>
          </cell>
          <cell r="P36">
            <v>5355</v>
          </cell>
          <cell r="Q36">
            <v>957</v>
          </cell>
          <cell r="R36">
            <v>1335</v>
          </cell>
        </row>
        <row r="37">
          <cell r="K37">
            <v>1412</v>
          </cell>
          <cell r="L37">
            <v>1403</v>
          </cell>
          <cell r="M37">
            <v>2697</v>
          </cell>
          <cell r="N37">
            <v>1700</v>
          </cell>
          <cell r="O37">
            <v>1392</v>
          </cell>
          <cell r="P37">
            <v>4211</v>
          </cell>
          <cell r="Q37">
            <v>752</v>
          </cell>
          <cell r="R37">
            <v>762</v>
          </cell>
        </row>
        <row r="38">
          <cell r="K38">
            <v>1400</v>
          </cell>
          <cell r="L38">
            <v>1388</v>
          </cell>
          <cell r="M38">
            <v>2569</v>
          </cell>
          <cell r="N38">
            <v>1642</v>
          </cell>
          <cell r="O38">
            <v>1414</v>
          </cell>
          <cell r="P38">
            <v>4320</v>
          </cell>
          <cell r="Q38">
            <v>759</v>
          </cell>
          <cell r="R38">
            <v>992</v>
          </cell>
        </row>
        <row r="39">
          <cell r="K39">
            <v>1411</v>
          </cell>
          <cell r="L39">
            <v>1417</v>
          </cell>
          <cell r="M39">
            <v>2696</v>
          </cell>
          <cell r="N39">
            <v>1698</v>
          </cell>
          <cell r="O39">
            <v>1423</v>
          </cell>
          <cell r="P39">
            <v>4432</v>
          </cell>
          <cell r="Q39">
            <v>746</v>
          </cell>
          <cell r="R39">
            <v>990</v>
          </cell>
        </row>
        <row r="40">
          <cell r="K40">
            <v>1407</v>
          </cell>
          <cell r="L40">
            <v>1410</v>
          </cell>
          <cell r="M40">
            <v>2700</v>
          </cell>
          <cell r="N40">
            <v>1706</v>
          </cell>
          <cell r="O40">
            <v>1360</v>
          </cell>
          <cell r="P40">
            <v>4434</v>
          </cell>
          <cell r="Q40">
            <v>746</v>
          </cell>
          <cell r="R40">
            <v>988</v>
          </cell>
        </row>
        <row r="41">
          <cell r="K41">
            <v>1402</v>
          </cell>
          <cell r="L41">
            <v>1402</v>
          </cell>
          <cell r="M41">
            <v>2694</v>
          </cell>
          <cell r="N41">
            <v>1690</v>
          </cell>
          <cell r="O41">
            <v>1398</v>
          </cell>
          <cell r="P41">
            <v>4434</v>
          </cell>
          <cell r="Q41">
            <v>752</v>
          </cell>
          <cell r="R41">
            <v>988</v>
          </cell>
        </row>
        <row r="42">
          <cell r="K42">
            <v>1402</v>
          </cell>
          <cell r="L42">
            <v>1394</v>
          </cell>
          <cell r="M42">
            <v>2568</v>
          </cell>
          <cell r="N42">
            <v>1634</v>
          </cell>
          <cell r="O42">
            <v>1389</v>
          </cell>
          <cell r="P42">
            <v>4320</v>
          </cell>
          <cell r="Q42">
            <v>760</v>
          </cell>
          <cell r="R42">
            <v>992</v>
          </cell>
        </row>
        <row r="43">
          <cell r="K43">
            <v>1411</v>
          </cell>
          <cell r="L43">
            <v>1411</v>
          </cell>
          <cell r="M43">
            <v>2703</v>
          </cell>
          <cell r="N43">
            <v>1710</v>
          </cell>
          <cell r="O43">
            <v>1334</v>
          </cell>
          <cell r="P43">
            <v>4429</v>
          </cell>
          <cell r="Q43">
            <v>746</v>
          </cell>
          <cell r="R43">
            <v>980</v>
          </cell>
        </row>
        <row r="44">
          <cell r="K44">
            <v>1424</v>
          </cell>
          <cell r="L44">
            <v>1450</v>
          </cell>
          <cell r="M44">
            <v>2635</v>
          </cell>
          <cell r="N44">
            <v>1700</v>
          </cell>
          <cell r="O44">
            <v>1437</v>
          </cell>
          <cell r="P44">
            <v>4607</v>
          </cell>
          <cell r="Q44">
            <v>899</v>
          </cell>
          <cell r="R44">
            <v>1073</v>
          </cell>
        </row>
        <row r="45">
          <cell r="K45">
            <v>1470</v>
          </cell>
          <cell r="L45">
            <v>1485</v>
          </cell>
          <cell r="M45">
            <v>2763</v>
          </cell>
          <cell r="N45">
            <v>1750</v>
          </cell>
          <cell r="O45">
            <v>1424</v>
          </cell>
          <cell r="P45">
            <v>4720</v>
          </cell>
          <cell r="Q45">
            <v>846</v>
          </cell>
          <cell r="R45">
            <v>1111</v>
          </cell>
        </row>
        <row r="46">
          <cell r="K46">
            <v>1472</v>
          </cell>
          <cell r="L46">
            <v>1482</v>
          </cell>
          <cell r="M46">
            <v>2767</v>
          </cell>
          <cell r="N46">
            <v>1740</v>
          </cell>
          <cell r="O46">
            <v>1422</v>
          </cell>
          <cell r="P46">
            <v>4714</v>
          </cell>
          <cell r="Q46">
            <v>838</v>
          </cell>
          <cell r="R46">
            <v>1108</v>
          </cell>
        </row>
        <row r="47">
          <cell r="K47">
            <v>1519</v>
          </cell>
          <cell r="L47">
            <v>1519</v>
          </cell>
          <cell r="M47">
            <v>2823</v>
          </cell>
          <cell r="N47">
            <v>1800</v>
          </cell>
          <cell r="O47">
            <v>1448</v>
          </cell>
          <cell r="P47">
            <v>4766</v>
          </cell>
          <cell r="Q47">
            <v>856</v>
          </cell>
          <cell r="R47">
            <v>1087</v>
          </cell>
        </row>
        <row r="48">
          <cell r="K48">
            <v>1420</v>
          </cell>
          <cell r="L48">
            <v>1460</v>
          </cell>
          <cell r="M48">
            <v>2635</v>
          </cell>
          <cell r="N48">
            <v>1695</v>
          </cell>
          <cell r="O48">
            <v>1420</v>
          </cell>
          <cell r="P48">
            <v>4665</v>
          </cell>
          <cell r="Q48">
            <v>905</v>
          </cell>
          <cell r="R48">
            <v>1125</v>
          </cell>
        </row>
        <row r="49">
          <cell r="K49">
            <v>1508</v>
          </cell>
          <cell r="L49">
            <v>1520</v>
          </cell>
          <cell r="M49">
            <v>2830</v>
          </cell>
          <cell r="N49">
            <v>1808</v>
          </cell>
          <cell r="O49" t="str">
            <v>NA</v>
          </cell>
          <cell r="P49">
            <v>4801</v>
          </cell>
          <cell r="Q49">
            <v>854</v>
          </cell>
          <cell r="R49">
            <v>1116</v>
          </cell>
        </row>
        <row r="50">
          <cell r="K50">
            <v>1500</v>
          </cell>
          <cell r="L50">
            <v>1515</v>
          </cell>
          <cell r="M50">
            <v>2800</v>
          </cell>
          <cell r="N50">
            <v>1800</v>
          </cell>
          <cell r="O50">
            <v>1415</v>
          </cell>
          <cell r="P50">
            <v>4895</v>
          </cell>
          <cell r="Q50">
            <v>905</v>
          </cell>
          <cell r="R50">
            <v>1185</v>
          </cell>
        </row>
        <row r="51">
          <cell r="K51">
            <v>1521</v>
          </cell>
          <cell r="L51">
            <v>1548</v>
          </cell>
          <cell r="M51">
            <v>2839</v>
          </cell>
          <cell r="N51">
            <v>1838</v>
          </cell>
          <cell r="O51">
            <v>1418</v>
          </cell>
          <cell r="P51">
            <v>4912</v>
          </cell>
          <cell r="Q51">
            <v>882</v>
          </cell>
          <cell r="R51">
            <v>1191</v>
          </cell>
        </row>
        <row r="52">
          <cell r="K52">
            <v>1548</v>
          </cell>
          <cell r="L52">
            <v>1555</v>
          </cell>
          <cell r="M52">
            <v>2936</v>
          </cell>
          <cell r="N52">
            <v>1868</v>
          </cell>
          <cell r="O52">
            <v>1437</v>
          </cell>
          <cell r="P52">
            <v>4979</v>
          </cell>
          <cell r="Q52">
            <v>892</v>
          </cell>
          <cell r="R52">
            <v>1150</v>
          </cell>
        </row>
        <row r="53">
          <cell r="K53">
            <v>1551</v>
          </cell>
          <cell r="L53">
            <v>1560</v>
          </cell>
          <cell r="M53">
            <v>2690</v>
          </cell>
          <cell r="N53">
            <v>1860</v>
          </cell>
          <cell r="O53">
            <v>1345</v>
          </cell>
          <cell r="P53">
            <v>4779</v>
          </cell>
          <cell r="Q53">
            <v>1042</v>
          </cell>
          <cell r="R53">
            <v>1047</v>
          </cell>
        </row>
        <row r="54">
          <cell r="K54">
            <v>1412</v>
          </cell>
          <cell r="L54">
            <v>1428</v>
          </cell>
          <cell r="M54">
            <v>2447</v>
          </cell>
          <cell r="N54">
            <v>1690</v>
          </cell>
          <cell r="O54">
            <v>1293</v>
          </cell>
          <cell r="P54">
            <v>4025</v>
          </cell>
          <cell r="Q54">
            <v>803</v>
          </cell>
          <cell r="R54">
            <v>776</v>
          </cell>
        </row>
        <row r="55">
          <cell r="K55">
            <v>1490</v>
          </cell>
          <cell r="L55">
            <v>1445</v>
          </cell>
          <cell r="M55">
            <v>2665</v>
          </cell>
          <cell r="N55">
            <v>1755</v>
          </cell>
          <cell r="O55">
            <v>1390</v>
          </cell>
          <cell r="P55">
            <v>4630</v>
          </cell>
          <cell r="Q55">
            <v>945</v>
          </cell>
          <cell r="R55">
            <v>1025</v>
          </cell>
        </row>
        <row r="57">
          <cell r="K57">
            <v>1435</v>
          </cell>
          <cell r="L57">
            <v>1448</v>
          </cell>
          <cell r="M57">
            <v>2631</v>
          </cell>
          <cell r="N57">
            <v>1742</v>
          </cell>
          <cell r="O57">
            <v>1354</v>
          </cell>
          <cell r="P57">
            <v>4738</v>
          </cell>
          <cell r="Q57">
            <v>1059</v>
          </cell>
          <cell r="R57">
            <v>1048</v>
          </cell>
        </row>
        <row r="58">
          <cell r="K58">
            <v>1586</v>
          </cell>
          <cell r="L58">
            <v>1555</v>
          </cell>
          <cell r="M58">
            <v>2939</v>
          </cell>
          <cell r="N58">
            <v>1974</v>
          </cell>
          <cell r="O58">
            <v>1465</v>
          </cell>
          <cell r="P58">
            <v>5455</v>
          </cell>
          <cell r="Q58">
            <v>1086</v>
          </cell>
          <cell r="R58">
            <v>1431</v>
          </cell>
        </row>
        <row r="59">
          <cell r="K59">
            <v>1420</v>
          </cell>
          <cell r="L59">
            <v>1405</v>
          </cell>
          <cell r="M59">
            <v>2627</v>
          </cell>
          <cell r="N59">
            <v>1744</v>
          </cell>
          <cell r="O59">
            <v>1382</v>
          </cell>
          <cell r="P59">
            <v>4651</v>
          </cell>
          <cell r="Q59">
            <v>977</v>
          </cell>
          <cell r="R59">
            <v>1047</v>
          </cell>
        </row>
        <row r="60">
          <cell r="K60">
            <v>1471</v>
          </cell>
          <cell r="L60">
            <v>1492</v>
          </cell>
          <cell r="M60">
            <v>2440</v>
          </cell>
          <cell r="N60">
            <v>1845</v>
          </cell>
          <cell r="O60">
            <v>1206</v>
          </cell>
          <cell r="P60">
            <v>4538</v>
          </cell>
          <cell r="Q60">
            <v>1060</v>
          </cell>
          <cell r="R60">
            <v>1038</v>
          </cell>
        </row>
        <row r="61">
          <cell r="K61">
            <v>1501</v>
          </cell>
          <cell r="L61">
            <v>1503</v>
          </cell>
          <cell r="M61">
            <v>2720</v>
          </cell>
          <cell r="N61">
            <v>1758</v>
          </cell>
          <cell r="O61">
            <v>1446</v>
          </cell>
          <cell r="P61">
            <v>4838</v>
          </cell>
          <cell r="Q61">
            <v>1010</v>
          </cell>
          <cell r="R61">
            <v>1108</v>
          </cell>
        </row>
        <row r="62">
          <cell r="K62">
            <v>1572</v>
          </cell>
          <cell r="L62">
            <v>1614</v>
          </cell>
          <cell r="M62">
            <v>3053</v>
          </cell>
          <cell r="N62">
            <v>1850</v>
          </cell>
          <cell r="O62">
            <v>1789</v>
          </cell>
          <cell r="P62">
            <v>5113</v>
          </cell>
          <cell r="Q62">
            <v>960</v>
          </cell>
          <cell r="R62">
            <v>1100</v>
          </cell>
        </row>
        <row r="63">
          <cell r="K63">
            <v>1517</v>
          </cell>
          <cell r="L63">
            <v>1577</v>
          </cell>
          <cell r="M63">
            <v>3030</v>
          </cell>
          <cell r="N63">
            <v>1812</v>
          </cell>
          <cell r="O63">
            <v>1755</v>
          </cell>
          <cell r="P63">
            <v>4868</v>
          </cell>
          <cell r="Q63">
            <v>830</v>
          </cell>
          <cell r="R63">
            <v>1009</v>
          </cell>
        </row>
        <row r="64">
          <cell r="K64">
            <v>1596</v>
          </cell>
          <cell r="L64">
            <v>1630</v>
          </cell>
          <cell r="M64">
            <v>3033</v>
          </cell>
          <cell r="N64">
            <v>1952</v>
          </cell>
          <cell r="O64">
            <v>1753</v>
          </cell>
          <cell r="P64">
            <v>5056</v>
          </cell>
          <cell r="Q64">
            <v>914</v>
          </cell>
          <cell r="R64">
            <v>1109</v>
          </cell>
        </row>
        <row r="65">
          <cell r="K65">
            <v>1582</v>
          </cell>
          <cell r="L65">
            <v>1572</v>
          </cell>
          <cell r="M65">
            <v>2871</v>
          </cell>
          <cell r="N65">
            <v>1885</v>
          </cell>
          <cell r="O65">
            <v>1415</v>
          </cell>
          <cell r="P65">
            <v>5269</v>
          </cell>
          <cell r="Q65">
            <v>1167</v>
          </cell>
          <cell r="R65">
            <v>1232</v>
          </cell>
        </row>
        <row r="66">
          <cell r="K66">
            <v>1461</v>
          </cell>
          <cell r="L66">
            <v>1465</v>
          </cell>
          <cell r="M66">
            <v>2644</v>
          </cell>
          <cell r="N66">
            <v>1720</v>
          </cell>
          <cell r="O66">
            <v>1379</v>
          </cell>
          <cell r="P66">
            <v>4370</v>
          </cell>
          <cell r="Q66">
            <v>863</v>
          </cell>
          <cell r="R66">
            <v>863</v>
          </cell>
        </row>
        <row r="67">
          <cell r="K67">
            <v>1463</v>
          </cell>
          <cell r="L67">
            <v>1456</v>
          </cell>
          <cell r="M67">
            <v>2632</v>
          </cell>
          <cell r="N67">
            <v>1728</v>
          </cell>
          <cell r="O67">
            <v>1411</v>
          </cell>
          <cell r="P67">
            <v>4633</v>
          </cell>
          <cell r="Q67">
            <v>1002</v>
          </cell>
          <cell r="R67">
            <v>999</v>
          </cell>
        </row>
        <row r="68">
          <cell r="K68">
            <v>1528</v>
          </cell>
          <cell r="L68">
            <v>1535</v>
          </cell>
          <cell r="M68">
            <v>2694</v>
          </cell>
          <cell r="N68">
            <v>1786</v>
          </cell>
          <cell r="O68">
            <v>1401</v>
          </cell>
          <cell r="P68">
            <v>4900</v>
          </cell>
          <cell r="Q68">
            <v>1012</v>
          </cell>
          <cell r="R68">
            <v>1194</v>
          </cell>
        </row>
        <row r="69">
          <cell r="K69">
            <v>1515</v>
          </cell>
          <cell r="L69">
            <v>1523</v>
          </cell>
          <cell r="M69">
            <v>2742</v>
          </cell>
          <cell r="N69">
            <v>1824</v>
          </cell>
          <cell r="O69">
            <v>1374</v>
          </cell>
          <cell r="P69">
            <v>4763</v>
          </cell>
          <cell r="Q69">
            <v>982</v>
          </cell>
          <cell r="R69">
            <v>1040</v>
          </cell>
        </row>
        <row r="70">
          <cell r="K70">
            <v>1515</v>
          </cell>
          <cell r="L70">
            <v>1543</v>
          </cell>
          <cell r="M70">
            <v>2442</v>
          </cell>
          <cell r="N70">
            <v>1970</v>
          </cell>
          <cell r="O70">
            <v>1192</v>
          </cell>
          <cell r="P70">
            <v>4450</v>
          </cell>
          <cell r="Q70">
            <v>867</v>
          </cell>
          <cell r="R70">
            <v>1141</v>
          </cell>
        </row>
        <row r="71">
          <cell r="K71">
            <v>1524</v>
          </cell>
          <cell r="L71">
            <v>1580</v>
          </cell>
          <cell r="M71">
            <v>2846</v>
          </cell>
          <cell r="N71">
            <v>1836</v>
          </cell>
          <cell r="O71">
            <v>1744</v>
          </cell>
          <cell r="P71">
            <v>4471</v>
          </cell>
          <cell r="Q71">
            <v>848</v>
          </cell>
          <cell r="R71">
            <v>777</v>
          </cell>
        </row>
        <row r="72">
          <cell r="K72">
            <v>1601</v>
          </cell>
          <cell r="L72">
            <v>1631</v>
          </cell>
          <cell r="M72">
            <v>2686</v>
          </cell>
          <cell r="N72">
            <v>1950</v>
          </cell>
          <cell r="O72">
            <v>1743</v>
          </cell>
          <cell r="P72">
            <v>4724</v>
          </cell>
          <cell r="Q72">
            <v>914</v>
          </cell>
          <cell r="R72">
            <v>923</v>
          </cell>
        </row>
        <row r="73">
          <cell r="K73">
            <v>1480</v>
          </cell>
          <cell r="L73">
            <v>1447</v>
          </cell>
          <cell r="M73">
            <v>2741</v>
          </cell>
          <cell r="N73">
            <v>1756</v>
          </cell>
          <cell r="O73">
            <v>1385</v>
          </cell>
          <cell r="P73">
            <v>4443</v>
          </cell>
          <cell r="Q73">
            <v>931</v>
          </cell>
          <cell r="R73">
            <v>771</v>
          </cell>
        </row>
        <row r="74">
          <cell r="K74">
            <v>1420</v>
          </cell>
          <cell r="L74">
            <v>1440</v>
          </cell>
          <cell r="M74">
            <v>2689</v>
          </cell>
          <cell r="N74">
            <v>1718</v>
          </cell>
          <cell r="O74">
            <v>1810</v>
          </cell>
          <cell r="P74">
            <v>4116</v>
          </cell>
          <cell r="Q74">
            <v>820</v>
          </cell>
          <cell r="R74">
            <v>606</v>
          </cell>
        </row>
        <row r="75">
          <cell r="K75">
            <v>1410</v>
          </cell>
          <cell r="L75">
            <v>1353</v>
          </cell>
          <cell r="M75">
            <v>2658</v>
          </cell>
          <cell r="N75">
            <v>1660</v>
          </cell>
          <cell r="O75">
            <v>1354</v>
          </cell>
          <cell r="P75">
            <v>4225</v>
          </cell>
          <cell r="Q75">
            <v>817</v>
          </cell>
          <cell r="R75">
            <v>750</v>
          </cell>
        </row>
        <row r="76">
          <cell r="K76">
            <v>1543</v>
          </cell>
          <cell r="L76">
            <v>1548</v>
          </cell>
          <cell r="M76">
            <v>2828</v>
          </cell>
          <cell r="N76">
            <v>1840</v>
          </cell>
          <cell r="O76">
            <v>1723</v>
          </cell>
          <cell r="P76">
            <v>4456</v>
          </cell>
          <cell r="Q76">
            <v>883</v>
          </cell>
          <cell r="R76">
            <v>744</v>
          </cell>
        </row>
        <row r="77">
          <cell r="K77">
            <v>1290</v>
          </cell>
          <cell r="L77">
            <v>1240</v>
          </cell>
          <cell r="M77">
            <v>2230</v>
          </cell>
          <cell r="N77">
            <v>1505</v>
          </cell>
          <cell r="O77">
            <v>1385</v>
          </cell>
          <cell r="P77">
            <v>3385</v>
          </cell>
          <cell r="Q77">
            <v>650</v>
          </cell>
          <cell r="R77">
            <v>505</v>
          </cell>
        </row>
        <row r="78">
          <cell r="K78">
            <v>1386</v>
          </cell>
          <cell r="L78">
            <v>1318</v>
          </cell>
          <cell r="M78">
            <v>2385</v>
          </cell>
          <cell r="N78">
            <v>1606</v>
          </cell>
          <cell r="O78">
            <v>1381</v>
          </cell>
          <cell r="P78">
            <v>3722</v>
          </cell>
          <cell r="Q78">
            <v>754</v>
          </cell>
          <cell r="R78">
            <v>584</v>
          </cell>
        </row>
        <row r="79">
          <cell r="K79">
            <v>1290</v>
          </cell>
          <cell r="L79">
            <v>1240</v>
          </cell>
          <cell r="M79">
            <v>2430</v>
          </cell>
          <cell r="N79">
            <v>1525</v>
          </cell>
          <cell r="O79">
            <v>1410</v>
          </cell>
          <cell r="P79">
            <v>3690</v>
          </cell>
          <cell r="Q79">
            <v>670</v>
          </cell>
          <cell r="R79">
            <v>590</v>
          </cell>
        </row>
        <row r="80">
          <cell r="K80">
            <v>1487</v>
          </cell>
          <cell r="L80">
            <v>1440</v>
          </cell>
          <cell r="M80">
            <v>2739</v>
          </cell>
          <cell r="N80">
            <v>1748</v>
          </cell>
          <cell r="O80">
            <v>1424</v>
          </cell>
          <cell r="P80">
            <v>4642</v>
          </cell>
          <cell r="Q80">
            <v>929</v>
          </cell>
          <cell r="R80">
            <v>974</v>
          </cell>
        </row>
        <row r="81">
          <cell r="K81">
            <v>1520</v>
          </cell>
          <cell r="L81">
            <v>1460</v>
          </cell>
          <cell r="M81">
            <v>2850</v>
          </cell>
          <cell r="N81">
            <v>1802</v>
          </cell>
          <cell r="O81">
            <v>1398</v>
          </cell>
          <cell r="P81">
            <v>4703</v>
          </cell>
          <cell r="Q81">
            <v>1058</v>
          </cell>
          <cell r="R81">
            <v>795</v>
          </cell>
        </row>
        <row r="82">
          <cell r="K82">
            <v>1528</v>
          </cell>
          <cell r="L82">
            <v>1459</v>
          </cell>
          <cell r="M82">
            <v>2849</v>
          </cell>
          <cell r="N82">
            <v>1798</v>
          </cell>
          <cell r="O82">
            <v>1476</v>
          </cell>
          <cell r="P82">
            <v>4944</v>
          </cell>
          <cell r="Q82">
            <v>1054</v>
          </cell>
          <cell r="R82">
            <v>1041</v>
          </cell>
        </row>
        <row r="83">
          <cell r="K83">
            <v>1418</v>
          </cell>
          <cell r="L83">
            <v>1420</v>
          </cell>
          <cell r="M83">
            <v>2542</v>
          </cell>
          <cell r="N83">
            <v>1694</v>
          </cell>
          <cell r="O83">
            <v>1404</v>
          </cell>
          <cell r="P83">
            <v>4174</v>
          </cell>
          <cell r="Q83">
            <v>878</v>
          </cell>
          <cell r="R83">
            <v>753</v>
          </cell>
        </row>
        <row r="84">
          <cell r="K84">
            <v>1422</v>
          </cell>
          <cell r="L84">
            <v>1421</v>
          </cell>
          <cell r="M84">
            <v>2544</v>
          </cell>
          <cell r="N84">
            <v>1700</v>
          </cell>
          <cell r="O84">
            <v>1392</v>
          </cell>
          <cell r="P84">
            <v>4072</v>
          </cell>
          <cell r="Q84">
            <v>856</v>
          </cell>
          <cell r="R84">
            <v>672</v>
          </cell>
        </row>
        <row r="85">
          <cell r="K85">
            <v>1422</v>
          </cell>
          <cell r="L85">
            <v>1420</v>
          </cell>
          <cell r="M85">
            <v>2540</v>
          </cell>
          <cell r="N85">
            <v>1698</v>
          </cell>
          <cell r="O85">
            <v>1475</v>
          </cell>
          <cell r="P85">
            <v>4254</v>
          </cell>
          <cell r="Q85">
            <v>853</v>
          </cell>
          <cell r="R85">
            <v>861</v>
          </cell>
        </row>
        <row r="86">
          <cell r="K86">
            <v>1412</v>
          </cell>
          <cell r="L86">
            <v>1408</v>
          </cell>
          <cell r="M86">
            <v>2543</v>
          </cell>
          <cell r="N86">
            <v>1700</v>
          </cell>
          <cell r="O86">
            <v>1392</v>
          </cell>
          <cell r="P86">
            <v>4070</v>
          </cell>
          <cell r="Q86">
            <v>848</v>
          </cell>
          <cell r="R86">
            <v>678</v>
          </cell>
        </row>
        <row r="87">
          <cell r="K87">
            <v>1400</v>
          </cell>
          <cell r="L87">
            <v>1415</v>
          </cell>
          <cell r="M87">
            <v>2413</v>
          </cell>
          <cell r="N87">
            <v>1672</v>
          </cell>
          <cell r="O87">
            <v>1431</v>
          </cell>
          <cell r="P87">
            <v>4088</v>
          </cell>
          <cell r="Q87">
            <v>864</v>
          </cell>
          <cell r="R87">
            <v>712</v>
          </cell>
        </row>
        <row r="88">
          <cell r="K88">
            <v>1426</v>
          </cell>
          <cell r="L88">
            <v>1423</v>
          </cell>
          <cell r="M88">
            <v>2614</v>
          </cell>
          <cell r="N88">
            <v>1710</v>
          </cell>
          <cell r="O88">
            <v>1393</v>
          </cell>
          <cell r="P88">
            <v>4611</v>
          </cell>
          <cell r="Q88">
            <v>935</v>
          </cell>
          <cell r="R88">
            <v>1062</v>
          </cell>
        </row>
        <row r="89">
          <cell r="K89">
            <v>1400</v>
          </cell>
          <cell r="L89">
            <v>1413</v>
          </cell>
          <cell r="M89">
            <v>2516</v>
          </cell>
          <cell r="N89">
            <v>1676</v>
          </cell>
          <cell r="O89">
            <v>1430</v>
          </cell>
          <cell r="P89">
            <v>4250</v>
          </cell>
          <cell r="Q89">
            <v>860</v>
          </cell>
          <cell r="R89">
            <v>873</v>
          </cell>
        </row>
        <row r="90">
          <cell r="K90">
            <v>1517</v>
          </cell>
          <cell r="L90">
            <v>1508</v>
          </cell>
          <cell r="M90">
            <v>2667</v>
          </cell>
          <cell r="N90">
            <v>1782</v>
          </cell>
          <cell r="O90">
            <v>1440</v>
          </cell>
          <cell r="P90">
            <v>4689</v>
          </cell>
          <cell r="Q90">
            <v>960</v>
          </cell>
          <cell r="R90">
            <v>1062</v>
          </cell>
        </row>
        <row r="91">
          <cell r="K91">
            <v>1468</v>
          </cell>
          <cell r="L91">
            <v>1450</v>
          </cell>
          <cell r="M91">
            <v>2572</v>
          </cell>
          <cell r="N91">
            <v>1704</v>
          </cell>
          <cell r="O91">
            <v>1426</v>
          </cell>
          <cell r="P91">
            <v>4495</v>
          </cell>
          <cell r="Q91">
            <v>924</v>
          </cell>
          <cell r="R91">
            <v>999</v>
          </cell>
        </row>
        <row r="92">
          <cell r="K92">
            <v>1464</v>
          </cell>
          <cell r="L92">
            <v>1454</v>
          </cell>
          <cell r="M92">
            <v>2575</v>
          </cell>
          <cell r="N92">
            <v>1720</v>
          </cell>
          <cell r="O92">
            <v>1471</v>
          </cell>
          <cell r="P92">
            <v>4536</v>
          </cell>
          <cell r="Q92">
            <v>919</v>
          </cell>
          <cell r="R92">
            <v>1042</v>
          </cell>
        </row>
        <row r="93">
          <cell r="K93">
            <v>1464</v>
          </cell>
          <cell r="L93">
            <v>1454</v>
          </cell>
          <cell r="M93">
            <v>2575</v>
          </cell>
          <cell r="N93">
            <v>1720</v>
          </cell>
          <cell r="O93">
            <v>1471</v>
          </cell>
          <cell r="P93">
            <v>4536</v>
          </cell>
          <cell r="Q93">
            <v>919</v>
          </cell>
          <cell r="R93">
            <v>1042</v>
          </cell>
        </row>
        <row r="94">
          <cell r="K94">
            <v>1428</v>
          </cell>
          <cell r="L94">
            <v>1410</v>
          </cell>
          <cell r="M94">
            <v>2476</v>
          </cell>
          <cell r="N94">
            <v>1656</v>
          </cell>
          <cell r="O94">
            <v>1367</v>
          </cell>
          <cell r="P94">
            <v>4254</v>
          </cell>
          <cell r="Q94">
            <v>815</v>
          </cell>
          <cell r="R94">
            <v>965</v>
          </cell>
        </row>
        <row r="95">
          <cell r="K95">
            <v>1300</v>
          </cell>
          <cell r="L95">
            <v>1280</v>
          </cell>
          <cell r="M95">
            <v>2300</v>
          </cell>
          <cell r="N95">
            <v>1515</v>
          </cell>
          <cell r="O95">
            <v>1360</v>
          </cell>
          <cell r="P95">
            <v>3465</v>
          </cell>
          <cell r="Q95">
            <v>605</v>
          </cell>
          <cell r="R95">
            <v>565</v>
          </cell>
        </row>
        <row r="96">
          <cell r="K96">
            <v>1383</v>
          </cell>
          <cell r="L96">
            <v>1370</v>
          </cell>
          <cell r="M96">
            <v>2340</v>
          </cell>
          <cell r="N96">
            <v>1622</v>
          </cell>
          <cell r="O96">
            <v>1370</v>
          </cell>
          <cell r="P96">
            <v>3610</v>
          </cell>
          <cell r="Q96">
            <v>704</v>
          </cell>
          <cell r="R96">
            <v>566</v>
          </cell>
        </row>
        <row r="97">
          <cell r="K97">
            <v>1391</v>
          </cell>
          <cell r="L97">
            <v>1391</v>
          </cell>
          <cell r="M97">
            <v>2393</v>
          </cell>
          <cell r="N97">
            <v>1620</v>
          </cell>
          <cell r="O97">
            <v>1386</v>
          </cell>
          <cell r="P97">
            <v>3746</v>
          </cell>
          <cell r="Q97">
            <v>726</v>
          </cell>
          <cell r="R97">
            <v>627</v>
          </cell>
        </row>
        <row r="98">
          <cell r="K98">
            <v>1228</v>
          </cell>
          <cell r="L98">
            <v>1219</v>
          </cell>
          <cell r="M98">
            <v>2299</v>
          </cell>
          <cell r="N98">
            <v>1400</v>
          </cell>
          <cell r="O98">
            <v>1426</v>
          </cell>
          <cell r="P98">
            <v>3295</v>
          </cell>
          <cell r="Q98">
            <v>555</v>
          </cell>
          <cell r="R98">
            <v>440</v>
          </cell>
        </row>
        <row r="99">
          <cell r="K99">
            <v>1225</v>
          </cell>
          <cell r="L99">
            <v>1215</v>
          </cell>
          <cell r="M99">
            <v>2301</v>
          </cell>
          <cell r="N99">
            <v>1396</v>
          </cell>
          <cell r="O99">
            <v>1694</v>
          </cell>
          <cell r="P99">
            <v>3314</v>
          </cell>
          <cell r="Q99">
            <v>544</v>
          </cell>
          <cell r="R99">
            <v>469</v>
          </cell>
        </row>
        <row r="100">
          <cell r="K100">
            <v>1311</v>
          </cell>
          <cell r="L100">
            <v>1315</v>
          </cell>
          <cell r="M100">
            <v>2420</v>
          </cell>
          <cell r="N100">
            <v>1554</v>
          </cell>
          <cell r="O100">
            <v>1709</v>
          </cell>
          <cell r="P100">
            <v>3843</v>
          </cell>
          <cell r="Q100">
            <v>564</v>
          </cell>
          <cell r="R100">
            <v>859</v>
          </cell>
        </row>
        <row r="101">
          <cell r="K101">
            <v>1579</v>
          </cell>
          <cell r="L101">
            <v>1571</v>
          </cell>
          <cell r="M101">
            <v>2876</v>
          </cell>
          <cell r="N101">
            <v>1904</v>
          </cell>
          <cell r="O101">
            <v>1419</v>
          </cell>
          <cell r="P101">
            <v>5121</v>
          </cell>
          <cell r="Q101">
            <v>1114</v>
          </cell>
          <cell r="R101">
            <v>1131</v>
          </cell>
        </row>
        <row r="102">
          <cell r="K102">
            <v>1140</v>
          </cell>
          <cell r="L102">
            <v>1205</v>
          </cell>
          <cell r="M102">
            <v>1840</v>
          </cell>
          <cell r="N102">
            <v>1370</v>
          </cell>
          <cell r="O102">
            <v>1335</v>
          </cell>
          <cell r="P102">
            <v>3065</v>
          </cell>
          <cell r="Q102">
            <v>530</v>
          </cell>
          <cell r="R102">
            <v>695</v>
          </cell>
        </row>
        <row r="103">
          <cell r="K103">
            <v>1280</v>
          </cell>
          <cell r="L103">
            <v>1295</v>
          </cell>
          <cell r="M103">
            <v>2230</v>
          </cell>
          <cell r="N103">
            <v>1525</v>
          </cell>
          <cell r="O103">
            <v>1375</v>
          </cell>
          <cell r="P103">
            <v>3600</v>
          </cell>
          <cell r="Q103">
            <v>635</v>
          </cell>
          <cell r="R103">
            <v>735</v>
          </cell>
        </row>
        <row r="104">
          <cell r="K104">
            <v>1275</v>
          </cell>
          <cell r="L104">
            <v>1268</v>
          </cell>
          <cell r="M104">
            <v>2161</v>
          </cell>
          <cell r="N104">
            <v>1492</v>
          </cell>
          <cell r="O104">
            <v>1425</v>
          </cell>
          <cell r="P104">
            <v>3439</v>
          </cell>
          <cell r="Q104">
            <v>660</v>
          </cell>
          <cell r="R104">
            <v>618</v>
          </cell>
        </row>
        <row r="105">
          <cell r="K105">
            <v>1342</v>
          </cell>
          <cell r="L105">
            <v>1311</v>
          </cell>
          <cell r="M105">
            <v>2362</v>
          </cell>
          <cell r="N105">
            <v>1570</v>
          </cell>
          <cell r="O105">
            <v>1403</v>
          </cell>
          <cell r="P105">
            <v>3697</v>
          </cell>
          <cell r="Q105">
            <v>761</v>
          </cell>
          <cell r="R105">
            <v>574</v>
          </cell>
        </row>
        <row r="106">
          <cell r="K106">
            <v>1413</v>
          </cell>
          <cell r="L106">
            <v>1398</v>
          </cell>
          <cell r="M106">
            <v>2276</v>
          </cell>
          <cell r="N106">
            <v>1640</v>
          </cell>
          <cell r="O106">
            <v>1276</v>
          </cell>
          <cell r="P106">
            <v>3923</v>
          </cell>
          <cell r="Q106">
            <v>939</v>
          </cell>
          <cell r="R106">
            <v>707</v>
          </cell>
        </row>
        <row r="107">
          <cell r="K107">
            <v>1447</v>
          </cell>
          <cell r="L107">
            <v>1457</v>
          </cell>
          <cell r="M107">
            <v>2544</v>
          </cell>
          <cell r="N107">
            <v>1740</v>
          </cell>
          <cell r="O107">
            <v>1404</v>
          </cell>
          <cell r="P107">
            <v>4186</v>
          </cell>
          <cell r="Q107">
            <v>862</v>
          </cell>
          <cell r="R107">
            <v>780</v>
          </cell>
        </row>
        <row r="108">
          <cell r="K108">
            <v>1451</v>
          </cell>
          <cell r="L108">
            <v>1455</v>
          </cell>
          <cell r="M108">
            <v>2542</v>
          </cell>
          <cell r="N108">
            <v>1756</v>
          </cell>
          <cell r="O108">
            <v>1424</v>
          </cell>
          <cell r="P108">
            <v>4025</v>
          </cell>
          <cell r="Q108">
            <v>850</v>
          </cell>
          <cell r="R108">
            <v>633</v>
          </cell>
        </row>
        <row r="109">
          <cell r="K109">
            <v>1274</v>
          </cell>
          <cell r="L109">
            <v>1263</v>
          </cell>
          <cell r="M109">
            <v>2199</v>
          </cell>
          <cell r="N109">
            <v>1484</v>
          </cell>
          <cell r="O109">
            <v>1426</v>
          </cell>
          <cell r="P109">
            <v>3223</v>
          </cell>
          <cell r="Q109">
            <v>572</v>
          </cell>
          <cell r="R109">
            <v>452</v>
          </cell>
        </row>
        <row r="110">
          <cell r="K110">
            <v>1720</v>
          </cell>
          <cell r="L110">
            <v>1712</v>
          </cell>
          <cell r="M110">
            <v>2849</v>
          </cell>
          <cell r="N110">
            <v>2002</v>
          </cell>
          <cell r="O110">
            <v>2137</v>
          </cell>
          <cell r="P110">
            <v>4638</v>
          </cell>
          <cell r="Q110">
            <v>828</v>
          </cell>
          <cell r="R110">
            <v>962</v>
          </cell>
        </row>
        <row r="111">
          <cell r="K111">
            <v>1479</v>
          </cell>
          <cell r="L111">
            <v>1442</v>
          </cell>
          <cell r="M111">
            <v>2542</v>
          </cell>
          <cell r="N111">
            <v>1745</v>
          </cell>
          <cell r="O111">
            <v>1412</v>
          </cell>
          <cell r="P111">
            <v>4392</v>
          </cell>
          <cell r="Q111">
            <v>884</v>
          </cell>
          <cell r="R111">
            <v>965</v>
          </cell>
        </row>
        <row r="112">
          <cell r="K112">
            <v>1488</v>
          </cell>
          <cell r="L112">
            <v>1451</v>
          </cell>
          <cell r="M112">
            <v>2541</v>
          </cell>
          <cell r="N112">
            <v>1740</v>
          </cell>
          <cell r="O112">
            <v>1489</v>
          </cell>
          <cell r="P112">
            <v>4505</v>
          </cell>
          <cell r="Q112">
            <v>897</v>
          </cell>
          <cell r="R112">
            <v>1067</v>
          </cell>
        </row>
        <row r="113">
          <cell r="K113">
            <v>1260</v>
          </cell>
          <cell r="L113">
            <v>1250</v>
          </cell>
          <cell r="M113">
            <v>2161</v>
          </cell>
          <cell r="N113">
            <v>1472</v>
          </cell>
          <cell r="O113">
            <v>1415</v>
          </cell>
          <cell r="P113">
            <v>3388</v>
          </cell>
          <cell r="Q113">
            <v>595</v>
          </cell>
          <cell r="R113">
            <v>632</v>
          </cell>
        </row>
        <row r="114">
          <cell r="K114">
            <v>1339</v>
          </cell>
          <cell r="L114">
            <v>1377</v>
          </cell>
          <cell r="M114">
            <v>2454</v>
          </cell>
          <cell r="N114">
            <v>1620</v>
          </cell>
          <cell r="O114">
            <v>1444</v>
          </cell>
          <cell r="P114">
            <v>3764</v>
          </cell>
          <cell r="Q114">
            <v>779</v>
          </cell>
          <cell r="R114">
            <v>532</v>
          </cell>
        </row>
        <row r="115">
          <cell r="K115">
            <v>1394</v>
          </cell>
          <cell r="L115">
            <v>1375</v>
          </cell>
          <cell r="M115">
            <v>2454</v>
          </cell>
          <cell r="N115">
            <v>1620</v>
          </cell>
          <cell r="O115">
            <v>1444</v>
          </cell>
          <cell r="P115">
            <v>3764</v>
          </cell>
          <cell r="Q115">
            <v>778</v>
          </cell>
          <cell r="R115">
            <v>532</v>
          </cell>
        </row>
        <row r="116">
          <cell r="K116">
            <v>1409</v>
          </cell>
          <cell r="L116">
            <v>1389</v>
          </cell>
          <cell r="M116">
            <v>2462</v>
          </cell>
          <cell r="N116">
            <v>1654</v>
          </cell>
          <cell r="O116">
            <v>1430</v>
          </cell>
          <cell r="P116">
            <v>4254</v>
          </cell>
          <cell r="Q116">
            <v>808</v>
          </cell>
          <cell r="R116">
            <v>984</v>
          </cell>
        </row>
        <row r="117">
          <cell r="K117">
            <v>1400</v>
          </cell>
          <cell r="L117">
            <v>1385</v>
          </cell>
          <cell r="M117">
            <v>2455</v>
          </cell>
          <cell r="N117">
            <v>1650</v>
          </cell>
          <cell r="O117">
            <v>1411</v>
          </cell>
          <cell r="P117">
            <v>4256</v>
          </cell>
          <cell r="Q117">
            <v>819</v>
          </cell>
          <cell r="R117">
            <v>982</v>
          </cell>
        </row>
        <row r="118">
          <cell r="K118">
            <v>1534</v>
          </cell>
          <cell r="L118">
            <v>1542</v>
          </cell>
          <cell r="M118">
            <v>2823</v>
          </cell>
          <cell r="N118">
            <v>1828</v>
          </cell>
          <cell r="O118">
            <v>1937</v>
          </cell>
          <cell r="P118">
            <v>4451</v>
          </cell>
          <cell r="Q118">
            <v>851</v>
          </cell>
          <cell r="R118">
            <v>777</v>
          </cell>
        </row>
        <row r="119">
          <cell r="K119">
            <v>1431</v>
          </cell>
          <cell r="L119">
            <v>1411</v>
          </cell>
          <cell r="M119">
            <v>2537</v>
          </cell>
          <cell r="N119">
            <v>1692</v>
          </cell>
          <cell r="O119">
            <v>1436</v>
          </cell>
          <cell r="P119">
            <v>4352</v>
          </cell>
          <cell r="Q119">
            <v>926</v>
          </cell>
          <cell r="R119">
            <v>890</v>
          </cell>
        </row>
        <row r="120">
          <cell r="K120">
            <v>1434</v>
          </cell>
          <cell r="L120">
            <v>1411</v>
          </cell>
          <cell r="M120">
            <v>2536</v>
          </cell>
          <cell r="N120">
            <v>1698</v>
          </cell>
          <cell r="O120">
            <v>1499</v>
          </cell>
          <cell r="P120">
            <v>4476</v>
          </cell>
          <cell r="Q120">
            <v>931</v>
          </cell>
          <cell r="R120">
            <v>1012</v>
          </cell>
        </row>
        <row r="121">
          <cell r="K121">
            <v>1430</v>
          </cell>
          <cell r="L121">
            <v>1415</v>
          </cell>
          <cell r="M121">
            <v>2541</v>
          </cell>
          <cell r="N121">
            <v>1700</v>
          </cell>
          <cell r="O121">
            <v>1437</v>
          </cell>
          <cell r="P121">
            <v>3957</v>
          </cell>
          <cell r="Q121">
            <v>806</v>
          </cell>
          <cell r="R121">
            <v>610</v>
          </cell>
        </row>
        <row r="122">
          <cell r="K122">
            <v>1340</v>
          </cell>
          <cell r="L122">
            <v>1303</v>
          </cell>
          <cell r="M122">
            <v>2365</v>
          </cell>
          <cell r="N122">
            <v>1578</v>
          </cell>
          <cell r="O122">
            <v>1424</v>
          </cell>
          <cell r="P122">
            <v>3694</v>
          </cell>
          <cell r="Q122">
            <v>767</v>
          </cell>
          <cell r="R122">
            <v>562</v>
          </cell>
        </row>
        <row r="123">
          <cell r="K123">
            <v>1380</v>
          </cell>
          <cell r="L123">
            <v>1381</v>
          </cell>
          <cell r="M123">
            <v>2452</v>
          </cell>
          <cell r="N123">
            <v>1594</v>
          </cell>
          <cell r="O123">
            <v>1399</v>
          </cell>
          <cell r="P123">
            <v>3788</v>
          </cell>
          <cell r="Q123">
            <v>732</v>
          </cell>
          <cell r="R123">
            <v>604</v>
          </cell>
        </row>
        <row r="124">
          <cell r="K124">
            <v>1335</v>
          </cell>
          <cell r="L124">
            <v>1320</v>
          </cell>
          <cell r="M124">
            <v>2290</v>
          </cell>
          <cell r="N124">
            <v>1575</v>
          </cell>
          <cell r="O124">
            <v>1365</v>
          </cell>
          <cell r="P124">
            <v>3565</v>
          </cell>
          <cell r="Q124">
            <v>620</v>
          </cell>
          <cell r="R124">
            <v>660</v>
          </cell>
        </row>
        <row r="125">
          <cell r="K125">
            <v>1435</v>
          </cell>
          <cell r="L125">
            <v>1452</v>
          </cell>
          <cell r="M125">
            <v>2532</v>
          </cell>
          <cell r="N125">
            <v>1710</v>
          </cell>
          <cell r="O125">
            <v>1401</v>
          </cell>
          <cell r="P125">
            <v>4032</v>
          </cell>
          <cell r="Q125">
            <v>743</v>
          </cell>
          <cell r="R125">
            <v>757</v>
          </cell>
        </row>
        <row r="126">
          <cell r="K126">
            <v>1449</v>
          </cell>
          <cell r="L126">
            <v>1434</v>
          </cell>
          <cell r="M126">
            <v>2526</v>
          </cell>
          <cell r="N126">
            <v>1698</v>
          </cell>
          <cell r="O126">
            <v>1404</v>
          </cell>
          <cell r="P126">
            <v>4032</v>
          </cell>
          <cell r="Q126">
            <v>744</v>
          </cell>
          <cell r="R126">
            <v>762</v>
          </cell>
        </row>
        <row r="127">
          <cell r="K127">
            <v>1434</v>
          </cell>
          <cell r="L127">
            <v>1452</v>
          </cell>
          <cell r="M127">
            <v>2531</v>
          </cell>
          <cell r="N127">
            <v>1692</v>
          </cell>
          <cell r="O127">
            <v>1395</v>
          </cell>
          <cell r="P127">
            <v>4032</v>
          </cell>
          <cell r="Q127">
            <v>737</v>
          </cell>
          <cell r="R127">
            <v>764</v>
          </cell>
        </row>
        <row r="128">
          <cell r="K128">
            <v>1434</v>
          </cell>
          <cell r="L128">
            <v>1453</v>
          </cell>
          <cell r="M128">
            <v>2531</v>
          </cell>
          <cell r="N128">
            <v>1706</v>
          </cell>
          <cell r="O128">
            <v>1405</v>
          </cell>
          <cell r="P128">
            <v>4138</v>
          </cell>
          <cell r="Q128">
            <v>777</v>
          </cell>
          <cell r="R128">
            <v>830</v>
          </cell>
        </row>
        <row r="129">
          <cell r="K129">
            <v>1439</v>
          </cell>
          <cell r="L129">
            <v>1450</v>
          </cell>
          <cell r="M129">
            <v>2530</v>
          </cell>
          <cell r="N129">
            <v>1704</v>
          </cell>
          <cell r="O129">
            <v>140</v>
          </cell>
          <cell r="P129">
            <v>4146</v>
          </cell>
          <cell r="Q129">
            <v>783</v>
          </cell>
          <cell r="R129">
            <v>834</v>
          </cell>
        </row>
        <row r="130">
          <cell r="K130">
            <v>1390</v>
          </cell>
          <cell r="L130">
            <v>1430</v>
          </cell>
          <cell r="M130">
            <v>2400</v>
          </cell>
          <cell r="N130">
            <v>1640</v>
          </cell>
          <cell r="O130">
            <v>1374</v>
          </cell>
          <cell r="P130">
            <v>4020</v>
          </cell>
          <cell r="Q130">
            <v>770</v>
          </cell>
          <cell r="R130">
            <v>890</v>
          </cell>
        </row>
        <row r="131">
          <cell r="K131">
            <v>1432</v>
          </cell>
          <cell r="L131">
            <v>1450</v>
          </cell>
          <cell r="M131">
            <v>2530</v>
          </cell>
          <cell r="N131">
            <v>1704</v>
          </cell>
          <cell r="O131">
            <v>1454</v>
          </cell>
          <cell r="P131">
            <v>4265</v>
          </cell>
          <cell r="Q131">
            <v>740</v>
          </cell>
          <cell r="R131">
            <v>997</v>
          </cell>
        </row>
        <row r="132">
          <cell r="K132">
            <v>1488</v>
          </cell>
          <cell r="L132">
            <v>1492</v>
          </cell>
          <cell r="M132">
            <v>2849</v>
          </cell>
          <cell r="N132">
            <v>1884</v>
          </cell>
          <cell r="O132" t="str">
            <v>NA</v>
          </cell>
          <cell r="P132">
            <v>4937</v>
          </cell>
          <cell r="Q132">
            <v>879</v>
          </cell>
          <cell r="R132">
            <v>1109</v>
          </cell>
        </row>
        <row r="133">
          <cell r="K133">
            <v>1384</v>
          </cell>
          <cell r="L133">
            <v>1379</v>
          </cell>
          <cell r="M133">
            <v>2447</v>
          </cell>
          <cell r="N133">
            <v>1600</v>
          </cell>
          <cell r="O133">
            <v>1400</v>
          </cell>
          <cell r="P133">
            <v>3788</v>
          </cell>
          <cell r="Q133">
            <v>734</v>
          </cell>
          <cell r="R133">
            <v>608</v>
          </cell>
        </row>
        <row r="134">
          <cell r="K134">
            <v>1423</v>
          </cell>
          <cell r="L134">
            <v>1375</v>
          </cell>
          <cell r="M134">
            <v>2452</v>
          </cell>
          <cell r="N134">
            <v>1636</v>
          </cell>
          <cell r="O134">
            <v>1383</v>
          </cell>
          <cell r="P134">
            <v>3823</v>
          </cell>
          <cell r="Q134">
            <v>740</v>
          </cell>
          <cell r="R134">
            <v>631</v>
          </cell>
        </row>
        <row r="135">
          <cell r="K135">
            <v>1426</v>
          </cell>
          <cell r="L135">
            <v>1372</v>
          </cell>
          <cell r="M135">
            <v>2449</v>
          </cell>
          <cell r="N135">
            <v>1632</v>
          </cell>
          <cell r="O135">
            <v>1377</v>
          </cell>
          <cell r="P135">
            <v>3834</v>
          </cell>
          <cell r="Q135">
            <v>752</v>
          </cell>
          <cell r="R135">
            <v>633</v>
          </cell>
        </row>
        <row r="136">
          <cell r="K136">
            <v>1440</v>
          </cell>
          <cell r="L136">
            <v>1398</v>
          </cell>
          <cell r="M136">
            <v>2691</v>
          </cell>
          <cell r="N136">
            <v>1654</v>
          </cell>
          <cell r="O136">
            <v>1852</v>
          </cell>
          <cell r="P136">
            <v>4116</v>
          </cell>
          <cell r="Q136">
            <v>754</v>
          </cell>
          <cell r="R136">
            <v>671</v>
          </cell>
        </row>
        <row r="137">
          <cell r="K137">
            <v>1515</v>
          </cell>
          <cell r="L137">
            <v>1527</v>
          </cell>
          <cell r="M137">
            <v>2774</v>
          </cell>
          <cell r="N137">
            <v>1808</v>
          </cell>
          <cell r="O137">
            <v>1435</v>
          </cell>
          <cell r="P137">
            <v>4753</v>
          </cell>
          <cell r="Q137">
            <v>865</v>
          </cell>
          <cell r="R137">
            <v>1114</v>
          </cell>
        </row>
        <row r="138">
          <cell r="K138">
            <v>1390</v>
          </cell>
          <cell r="L138">
            <v>1410</v>
          </cell>
          <cell r="M138">
            <v>2449</v>
          </cell>
          <cell r="N138">
            <v>1632</v>
          </cell>
          <cell r="O138">
            <v>1431</v>
          </cell>
          <cell r="P138">
            <v>3612</v>
          </cell>
          <cell r="Q138">
            <v>637</v>
          </cell>
          <cell r="R138">
            <v>526</v>
          </cell>
        </row>
        <row r="139">
          <cell r="K139">
            <v>1494</v>
          </cell>
          <cell r="L139">
            <v>1471</v>
          </cell>
          <cell r="M139">
            <v>2699</v>
          </cell>
          <cell r="N139">
            <v>1760</v>
          </cell>
          <cell r="O139">
            <v>1420</v>
          </cell>
          <cell r="P139">
            <v>4485</v>
          </cell>
          <cell r="Q139">
            <v>855</v>
          </cell>
          <cell r="R139">
            <v>931</v>
          </cell>
        </row>
        <row r="140">
          <cell r="K140">
            <v>1492</v>
          </cell>
          <cell r="L140">
            <v>1476</v>
          </cell>
          <cell r="M140">
            <v>2702</v>
          </cell>
          <cell r="N140">
            <v>1762</v>
          </cell>
          <cell r="O140">
            <v>1400</v>
          </cell>
          <cell r="P140">
            <v>4484</v>
          </cell>
          <cell r="Q140">
            <v>850</v>
          </cell>
          <cell r="R140">
            <v>932</v>
          </cell>
        </row>
        <row r="141">
          <cell r="K141">
            <v>1492</v>
          </cell>
          <cell r="L141">
            <v>1475</v>
          </cell>
          <cell r="M141">
            <v>2703</v>
          </cell>
          <cell r="N141">
            <v>1754</v>
          </cell>
          <cell r="O141">
            <v>1405</v>
          </cell>
          <cell r="P141">
            <v>4561</v>
          </cell>
          <cell r="Q141">
            <v>892</v>
          </cell>
          <cell r="R141">
            <v>966</v>
          </cell>
        </row>
        <row r="142">
          <cell r="K142">
            <v>1494</v>
          </cell>
          <cell r="L142">
            <v>1496</v>
          </cell>
          <cell r="M142">
            <v>2702</v>
          </cell>
          <cell r="N142">
            <v>1756</v>
          </cell>
          <cell r="O142">
            <v>1460</v>
          </cell>
          <cell r="P142">
            <v>4633</v>
          </cell>
          <cell r="Q142">
            <v>850</v>
          </cell>
          <cell r="R142">
            <v>1080</v>
          </cell>
        </row>
        <row r="143">
          <cell r="K143">
            <v>1402</v>
          </cell>
          <cell r="L143">
            <v>1417</v>
          </cell>
          <cell r="M143">
            <v>2400</v>
          </cell>
          <cell r="N143">
            <v>1642</v>
          </cell>
          <cell r="O143">
            <v>1389</v>
          </cell>
          <cell r="P143">
            <v>4193</v>
          </cell>
          <cell r="Q143">
            <v>745</v>
          </cell>
          <cell r="R143">
            <v>1048</v>
          </cell>
        </row>
        <row r="144">
          <cell r="K144">
            <v>1436</v>
          </cell>
          <cell r="L144">
            <v>1450</v>
          </cell>
          <cell r="M144">
            <v>2534</v>
          </cell>
          <cell r="N144">
            <v>1698</v>
          </cell>
          <cell r="O144">
            <v>1406</v>
          </cell>
          <cell r="P144">
            <v>4226</v>
          </cell>
          <cell r="Q144">
            <v>740</v>
          </cell>
          <cell r="R144">
            <v>952</v>
          </cell>
        </row>
        <row r="145">
          <cell r="K145">
            <v>1449</v>
          </cell>
          <cell r="L145">
            <v>1409</v>
          </cell>
          <cell r="M145">
            <v>2451</v>
          </cell>
          <cell r="N145">
            <v>1668</v>
          </cell>
          <cell r="O145">
            <v>1372</v>
          </cell>
          <cell r="P145">
            <v>3986</v>
          </cell>
          <cell r="Q145">
            <v>797</v>
          </cell>
          <cell r="R145">
            <v>738</v>
          </cell>
        </row>
        <row r="146">
          <cell r="K146">
            <v>1470</v>
          </cell>
          <cell r="L146">
            <v>1480</v>
          </cell>
          <cell r="M146">
            <v>2765</v>
          </cell>
          <cell r="N146">
            <v>1752</v>
          </cell>
          <cell r="O146">
            <v>1440</v>
          </cell>
          <cell r="P146">
            <v>4672</v>
          </cell>
          <cell r="Q146">
            <v>830</v>
          </cell>
          <cell r="R146">
            <v>1077</v>
          </cell>
        </row>
        <row r="147">
          <cell r="K147">
            <v>1477</v>
          </cell>
          <cell r="L147">
            <v>1481</v>
          </cell>
          <cell r="M147">
            <v>2775</v>
          </cell>
          <cell r="N147">
            <v>1764</v>
          </cell>
          <cell r="O147">
            <v>1412</v>
          </cell>
          <cell r="P147">
            <v>4828</v>
          </cell>
          <cell r="Q147">
            <v>907</v>
          </cell>
          <cell r="R147">
            <v>1146</v>
          </cell>
        </row>
        <row r="148">
          <cell r="K148">
            <v>1475</v>
          </cell>
          <cell r="L148">
            <v>1477</v>
          </cell>
          <cell r="M148">
            <v>2771</v>
          </cell>
          <cell r="N148">
            <v>1766</v>
          </cell>
          <cell r="O148">
            <v>1432</v>
          </cell>
          <cell r="P148">
            <v>4741</v>
          </cell>
          <cell r="Q148">
            <v>824</v>
          </cell>
          <cell r="R148">
            <v>1146</v>
          </cell>
        </row>
        <row r="149">
          <cell r="K149">
            <v>1480</v>
          </cell>
          <cell r="L149">
            <v>1486</v>
          </cell>
          <cell r="M149">
            <v>2764</v>
          </cell>
          <cell r="N149">
            <v>1764</v>
          </cell>
          <cell r="O149">
            <v>1474</v>
          </cell>
          <cell r="P149">
            <v>4738</v>
          </cell>
          <cell r="Q149">
            <v>824</v>
          </cell>
          <cell r="R149">
            <v>1149</v>
          </cell>
        </row>
        <row r="150">
          <cell r="K150">
            <v>1450</v>
          </cell>
          <cell r="L150">
            <v>1450</v>
          </cell>
          <cell r="M150">
            <v>2621</v>
          </cell>
          <cell r="N150">
            <v>1696</v>
          </cell>
          <cell r="O150">
            <v>1404</v>
          </cell>
          <cell r="P150">
            <v>4460</v>
          </cell>
          <cell r="Q150">
            <v>794</v>
          </cell>
          <cell r="R150">
            <v>1045</v>
          </cell>
        </row>
        <row r="151">
          <cell r="K151">
            <v>1447</v>
          </cell>
          <cell r="L151">
            <v>1445</v>
          </cell>
          <cell r="M151">
            <v>2610</v>
          </cell>
          <cell r="N151">
            <v>1730</v>
          </cell>
          <cell r="O151">
            <v>1448</v>
          </cell>
          <cell r="P151">
            <v>4511</v>
          </cell>
          <cell r="Q151">
            <v>805</v>
          </cell>
          <cell r="R151">
            <v>1096</v>
          </cell>
        </row>
        <row r="152">
          <cell r="K152">
            <v>1447</v>
          </cell>
          <cell r="L152">
            <v>1445</v>
          </cell>
          <cell r="M152">
            <v>2610</v>
          </cell>
          <cell r="N152">
            <v>1730</v>
          </cell>
          <cell r="O152">
            <v>1448</v>
          </cell>
          <cell r="P152">
            <v>4511</v>
          </cell>
          <cell r="Q152">
            <v>805</v>
          </cell>
          <cell r="R152">
            <v>1096</v>
          </cell>
        </row>
        <row r="153">
          <cell r="K153">
            <v>1440</v>
          </cell>
          <cell r="L153">
            <v>1420</v>
          </cell>
          <cell r="M153">
            <v>2580</v>
          </cell>
          <cell r="N153">
            <v>1705</v>
          </cell>
          <cell r="O153">
            <v>1375</v>
          </cell>
          <cell r="P153">
            <v>4350</v>
          </cell>
          <cell r="Q153">
            <v>780</v>
          </cell>
          <cell r="R153">
            <v>990</v>
          </cell>
        </row>
        <row r="154">
          <cell r="K154">
            <v>1440</v>
          </cell>
          <cell r="L154">
            <v>1420</v>
          </cell>
          <cell r="M154">
            <v>2580</v>
          </cell>
          <cell r="N154">
            <v>1705</v>
          </cell>
          <cell r="O154">
            <v>1375</v>
          </cell>
          <cell r="P154">
            <v>4435</v>
          </cell>
          <cell r="Q154">
            <v>805</v>
          </cell>
          <cell r="R154">
            <v>1055</v>
          </cell>
        </row>
        <row r="155">
          <cell r="K155">
            <v>1450</v>
          </cell>
          <cell r="L155">
            <v>1430</v>
          </cell>
          <cell r="M155">
            <v>2580</v>
          </cell>
          <cell r="N155">
            <v>1705</v>
          </cell>
          <cell r="O155">
            <v>1400</v>
          </cell>
          <cell r="P155">
            <v>4485</v>
          </cell>
          <cell r="Q155">
            <v>805</v>
          </cell>
          <cell r="R155">
            <v>1100</v>
          </cell>
        </row>
        <row r="156">
          <cell r="K156">
            <v>1695</v>
          </cell>
          <cell r="L156">
            <v>1700</v>
          </cell>
          <cell r="M156">
            <v>2838</v>
          </cell>
          <cell r="N156">
            <v>1976</v>
          </cell>
          <cell r="O156">
            <v>2166</v>
          </cell>
          <cell r="P156">
            <v>4629</v>
          </cell>
          <cell r="Q156">
            <v>904</v>
          </cell>
          <cell r="R156">
            <v>888</v>
          </cell>
        </row>
        <row r="157">
          <cell r="K157">
            <v>1630</v>
          </cell>
          <cell r="L157">
            <v>1598</v>
          </cell>
          <cell r="M157">
            <v>3076</v>
          </cell>
          <cell r="N157">
            <v>1934</v>
          </cell>
          <cell r="O157">
            <v>1755</v>
          </cell>
          <cell r="P157">
            <v>5136</v>
          </cell>
          <cell r="Q157">
            <v>1045</v>
          </cell>
          <cell r="R157">
            <v>1015</v>
          </cell>
        </row>
        <row r="158">
          <cell r="K158">
            <v>1543</v>
          </cell>
          <cell r="L158">
            <v>1552</v>
          </cell>
          <cell r="M158">
            <v>2818</v>
          </cell>
          <cell r="N158">
            <v>1882</v>
          </cell>
          <cell r="O158">
            <v>1375</v>
          </cell>
          <cell r="P158">
            <v>5199</v>
          </cell>
          <cell r="Q158">
            <v>1180</v>
          </cell>
          <cell r="R158">
            <v>1201</v>
          </cell>
        </row>
        <row r="159">
          <cell r="K159">
            <v>1522</v>
          </cell>
          <cell r="L159">
            <v>1515</v>
          </cell>
          <cell r="M159">
            <v>2557</v>
          </cell>
          <cell r="N159">
            <v>1766</v>
          </cell>
          <cell r="O159">
            <v>1288</v>
          </cell>
          <cell r="P159">
            <v>4435</v>
          </cell>
          <cell r="Q159">
            <v>956</v>
          </cell>
          <cell r="R159">
            <v>923</v>
          </cell>
        </row>
        <row r="160">
          <cell r="K160">
            <v>1433</v>
          </cell>
          <cell r="L160">
            <v>1425</v>
          </cell>
          <cell r="M160">
            <v>2450</v>
          </cell>
          <cell r="N160">
            <v>1650</v>
          </cell>
          <cell r="O160">
            <v>1361</v>
          </cell>
          <cell r="P160">
            <v>4209</v>
          </cell>
          <cell r="Q160">
            <v>884</v>
          </cell>
          <cell r="R160">
            <v>875</v>
          </cell>
        </row>
        <row r="161">
          <cell r="K161">
            <v>1478</v>
          </cell>
          <cell r="L161">
            <v>1480</v>
          </cell>
          <cell r="M161">
            <v>2716</v>
          </cell>
          <cell r="N161">
            <v>1720</v>
          </cell>
          <cell r="O161">
            <v>1376</v>
          </cell>
          <cell r="P161">
            <v>4672</v>
          </cell>
          <cell r="Q161">
            <v>904</v>
          </cell>
          <cell r="R161">
            <v>1052</v>
          </cell>
        </row>
        <row r="162">
          <cell r="K162">
            <v>1485</v>
          </cell>
          <cell r="L162">
            <v>1480</v>
          </cell>
          <cell r="M162">
            <v>2600</v>
          </cell>
          <cell r="N162">
            <v>1694</v>
          </cell>
          <cell r="O162">
            <v>1363</v>
          </cell>
          <cell r="P162">
            <v>4533</v>
          </cell>
          <cell r="Q162">
            <v>877</v>
          </cell>
          <cell r="R162">
            <v>1056</v>
          </cell>
        </row>
        <row r="163">
          <cell r="K163">
            <v>1476</v>
          </cell>
          <cell r="L163">
            <v>1472</v>
          </cell>
          <cell r="M163">
            <v>2721</v>
          </cell>
          <cell r="N163">
            <v>1698</v>
          </cell>
          <cell r="O163">
            <v>1378</v>
          </cell>
          <cell r="P163">
            <v>4688</v>
          </cell>
          <cell r="Q163">
            <v>887</v>
          </cell>
          <cell r="R163">
            <v>1080</v>
          </cell>
        </row>
        <row r="164">
          <cell r="K164">
            <v>1515</v>
          </cell>
          <cell r="L164">
            <v>1500</v>
          </cell>
          <cell r="M164">
            <v>2714</v>
          </cell>
          <cell r="N164">
            <v>1788</v>
          </cell>
          <cell r="O164">
            <v>1421</v>
          </cell>
          <cell r="P164">
            <v>4769</v>
          </cell>
          <cell r="Q164">
            <v>939</v>
          </cell>
          <cell r="R164">
            <v>1116</v>
          </cell>
        </row>
        <row r="165">
          <cell r="K165">
            <v>1519</v>
          </cell>
          <cell r="L165">
            <v>1498</v>
          </cell>
          <cell r="M165">
            <v>2713</v>
          </cell>
          <cell r="N165">
            <v>1784</v>
          </cell>
          <cell r="O165">
            <v>1399</v>
          </cell>
          <cell r="P165">
            <v>4676</v>
          </cell>
          <cell r="Q165">
            <v>936</v>
          </cell>
          <cell r="R165">
            <v>1027</v>
          </cell>
        </row>
        <row r="166">
          <cell r="K166">
            <v>1478</v>
          </cell>
          <cell r="L166">
            <v>1476</v>
          </cell>
          <cell r="M166">
            <v>2720</v>
          </cell>
          <cell r="N166">
            <v>1694</v>
          </cell>
          <cell r="O166">
            <v>1393</v>
          </cell>
          <cell r="P166">
            <v>4704</v>
          </cell>
          <cell r="Q166">
            <v>891</v>
          </cell>
          <cell r="R166">
            <v>1093</v>
          </cell>
        </row>
        <row r="167">
          <cell r="K167">
            <v>1461</v>
          </cell>
          <cell r="L167">
            <v>1464</v>
          </cell>
          <cell r="M167">
            <v>2804</v>
          </cell>
          <cell r="N167">
            <v>1698</v>
          </cell>
          <cell r="O167">
            <v>1351</v>
          </cell>
          <cell r="P167">
            <v>4688</v>
          </cell>
          <cell r="Q167">
            <v>766</v>
          </cell>
          <cell r="R167">
            <v>1118</v>
          </cell>
        </row>
        <row r="168">
          <cell r="K168">
            <v>1482</v>
          </cell>
          <cell r="L168">
            <v>1475</v>
          </cell>
          <cell r="M168">
            <v>2602</v>
          </cell>
          <cell r="N168">
            <v>1698</v>
          </cell>
          <cell r="O168">
            <v>1347</v>
          </cell>
          <cell r="P168">
            <v>4333</v>
          </cell>
          <cell r="Q168">
            <v>875</v>
          </cell>
          <cell r="R168">
            <v>856</v>
          </cell>
        </row>
        <row r="169">
          <cell r="K169">
            <v>1477</v>
          </cell>
          <cell r="L169">
            <v>1475</v>
          </cell>
          <cell r="M169">
            <v>2622</v>
          </cell>
          <cell r="N169">
            <v>1694</v>
          </cell>
          <cell r="O169">
            <v>1384</v>
          </cell>
          <cell r="P169">
            <v>4186</v>
          </cell>
          <cell r="Q169">
            <v>878</v>
          </cell>
          <cell r="R169">
            <v>687</v>
          </cell>
        </row>
        <row r="170">
          <cell r="K170">
            <v>1477</v>
          </cell>
          <cell r="L170">
            <v>1463</v>
          </cell>
          <cell r="M170">
            <v>2569</v>
          </cell>
          <cell r="N170">
            <v>1690</v>
          </cell>
          <cell r="O170">
            <v>1337</v>
          </cell>
          <cell r="P170">
            <v>4074</v>
          </cell>
          <cell r="Q170">
            <v>814</v>
          </cell>
          <cell r="R170">
            <v>691</v>
          </cell>
        </row>
        <row r="171">
          <cell r="K171">
            <v>1397</v>
          </cell>
          <cell r="L171">
            <v>1410</v>
          </cell>
          <cell r="M171">
            <v>2384</v>
          </cell>
          <cell r="N171">
            <v>1630</v>
          </cell>
          <cell r="O171">
            <v>1341</v>
          </cell>
          <cell r="P171">
            <v>3802</v>
          </cell>
          <cell r="Q171">
            <v>726</v>
          </cell>
          <cell r="R171">
            <v>692</v>
          </cell>
        </row>
        <row r="172">
          <cell r="K172">
            <v>1480</v>
          </cell>
          <cell r="L172">
            <v>1469</v>
          </cell>
          <cell r="M172">
            <v>2621</v>
          </cell>
          <cell r="N172">
            <v>1696</v>
          </cell>
          <cell r="O172">
            <v>1382</v>
          </cell>
          <cell r="P172">
            <v>4309</v>
          </cell>
          <cell r="Q172">
            <v>812</v>
          </cell>
          <cell r="R172">
            <v>876</v>
          </cell>
        </row>
        <row r="173">
          <cell r="K173">
            <v>1400</v>
          </cell>
          <cell r="L173">
            <v>1408</v>
          </cell>
          <cell r="M173">
            <v>2455</v>
          </cell>
          <cell r="N173">
            <v>1632</v>
          </cell>
          <cell r="O173">
            <v>1381</v>
          </cell>
          <cell r="P173">
            <v>4147</v>
          </cell>
          <cell r="Q173">
            <v>797</v>
          </cell>
          <cell r="R173">
            <v>895</v>
          </cell>
        </row>
        <row r="174">
          <cell r="K174">
            <v>1480</v>
          </cell>
          <cell r="L174">
            <v>1475</v>
          </cell>
          <cell r="M174">
            <v>2642</v>
          </cell>
          <cell r="N174">
            <v>1698</v>
          </cell>
          <cell r="O174">
            <v>1398</v>
          </cell>
          <cell r="P174">
            <v>4456</v>
          </cell>
          <cell r="Q174">
            <v>866</v>
          </cell>
          <cell r="R174">
            <v>965</v>
          </cell>
        </row>
        <row r="175">
          <cell r="K175">
            <v>1355</v>
          </cell>
          <cell r="L175">
            <v>1372</v>
          </cell>
          <cell r="M175">
            <v>2320</v>
          </cell>
          <cell r="N175">
            <v>1584</v>
          </cell>
          <cell r="O175">
            <v>1351</v>
          </cell>
          <cell r="P175">
            <v>4080</v>
          </cell>
          <cell r="Q175">
            <v>753</v>
          </cell>
          <cell r="R175">
            <v>1007</v>
          </cell>
        </row>
        <row r="176">
          <cell r="K176" t="str">
            <v>←</v>
          </cell>
          <cell r="L176" t="str">
            <v>←</v>
          </cell>
          <cell r="M176" t="str">
            <v>←</v>
          </cell>
          <cell r="N176" t="str">
            <v>←</v>
          </cell>
          <cell r="O176" t="str">
            <v>←</v>
          </cell>
          <cell r="P176" t="str">
            <v>←</v>
          </cell>
          <cell r="Q176" t="str">
            <v>←</v>
          </cell>
          <cell r="R176" t="str">
            <v>←</v>
          </cell>
        </row>
        <row r="177">
          <cell r="K177">
            <v>1400</v>
          </cell>
          <cell r="L177">
            <v>1415</v>
          </cell>
          <cell r="M177">
            <v>2200</v>
          </cell>
          <cell r="N177">
            <v>1618</v>
          </cell>
          <cell r="O177">
            <v>1283</v>
          </cell>
          <cell r="P177">
            <v>3669</v>
          </cell>
          <cell r="Q177">
            <v>763</v>
          </cell>
          <cell r="R177">
            <v>705</v>
          </cell>
        </row>
        <row r="178">
          <cell r="K178">
            <v>1395</v>
          </cell>
          <cell r="L178">
            <v>1408</v>
          </cell>
          <cell r="M178">
            <v>2458</v>
          </cell>
          <cell r="N178">
            <v>1650</v>
          </cell>
          <cell r="O178">
            <v>1481</v>
          </cell>
          <cell r="P178">
            <v>3984</v>
          </cell>
          <cell r="Q178">
            <v>739</v>
          </cell>
          <cell r="R178">
            <v>787</v>
          </cell>
        </row>
        <row r="179">
          <cell r="K179">
            <v>1450</v>
          </cell>
          <cell r="L179">
            <v>1460</v>
          </cell>
          <cell r="M179">
            <v>2500</v>
          </cell>
          <cell r="N179">
            <v>1692</v>
          </cell>
          <cell r="O179">
            <v>1503</v>
          </cell>
          <cell r="P179">
            <v>4105</v>
          </cell>
          <cell r="Q179">
            <v>771</v>
          </cell>
          <cell r="R179">
            <v>834</v>
          </cell>
        </row>
        <row r="180">
          <cell r="K180">
            <v>1540</v>
          </cell>
          <cell r="L180">
            <v>1526</v>
          </cell>
          <cell r="M180">
            <v>2627</v>
          </cell>
          <cell r="N180">
            <v>1756</v>
          </cell>
          <cell r="O180">
            <v>1696</v>
          </cell>
          <cell r="P180">
            <v>4532</v>
          </cell>
          <cell r="Q180">
            <v>811</v>
          </cell>
          <cell r="R180">
            <v>1094</v>
          </cell>
        </row>
        <row r="181">
          <cell r="K181">
            <v>1442</v>
          </cell>
          <cell r="L181">
            <v>1450</v>
          </cell>
          <cell r="M181">
            <v>2300</v>
          </cell>
          <cell r="N181">
            <v>1670</v>
          </cell>
          <cell r="O181">
            <v>1264</v>
          </cell>
          <cell r="P181">
            <v>3814</v>
          </cell>
          <cell r="Q181">
            <v>814</v>
          </cell>
          <cell r="R181">
            <v>700</v>
          </cell>
        </row>
        <row r="182">
          <cell r="K182">
            <v>1375</v>
          </cell>
          <cell r="L182">
            <v>1373</v>
          </cell>
          <cell r="M182">
            <v>2220</v>
          </cell>
          <cell r="N182">
            <v>1574</v>
          </cell>
          <cell r="O182">
            <v>1464</v>
          </cell>
          <cell r="P182">
            <v>3374</v>
          </cell>
          <cell r="Q182">
            <v>633</v>
          </cell>
          <cell r="R182">
            <v>521</v>
          </cell>
        </row>
        <row r="183">
          <cell r="K183">
            <v>1546</v>
          </cell>
          <cell r="L183">
            <v>1537</v>
          </cell>
          <cell r="M183">
            <v>2906</v>
          </cell>
          <cell r="N183">
            <v>1810</v>
          </cell>
          <cell r="O183">
            <v>1420</v>
          </cell>
          <cell r="P183">
            <v>4953</v>
          </cell>
          <cell r="Q183">
            <v>903</v>
          </cell>
          <cell r="R183">
            <v>1144</v>
          </cell>
        </row>
        <row r="184">
          <cell r="K184">
            <v>1553</v>
          </cell>
          <cell r="L184">
            <v>1540</v>
          </cell>
          <cell r="M184">
            <v>2911</v>
          </cell>
          <cell r="N184">
            <v>1810</v>
          </cell>
          <cell r="O184">
            <v>1402</v>
          </cell>
          <cell r="P184">
            <v>4945</v>
          </cell>
          <cell r="Q184">
            <v>884</v>
          </cell>
          <cell r="R184">
            <v>1150</v>
          </cell>
        </row>
        <row r="185">
          <cell r="K185">
            <v>1406</v>
          </cell>
          <cell r="L185">
            <v>1460</v>
          </cell>
          <cell r="M185">
            <v>2759</v>
          </cell>
          <cell r="N185">
            <v>1734</v>
          </cell>
          <cell r="O185">
            <v>1368</v>
          </cell>
          <cell r="P185">
            <v>4812</v>
          </cell>
          <cell r="Q185">
            <v>979</v>
          </cell>
          <cell r="R185">
            <v>1074</v>
          </cell>
        </row>
        <row r="186">
          <cell r="K186">
            <v>1502</v>
          </cell>
          <cell r="L186">
            <v>1502</v>
          </cell>
          <cell r="M186">
            <v>2709</v>
          </cell>
          <cell r="N186">
            <v>1746</v>
          </cell>
          <cell r="O186">
            <v>1365</v>
          </cell>
          <cell r="P186">
            <v>4750</v>
          </cell>
          <cell r="Q186">
            <v>967</v>
          </cell>
          <cell r="R186">
            <v>1074</v>
          </cell>
        </row>
        <row r="187">
          <cell r="K187">
            <v>1527</v>
          </cell>
          <cell r="L187">
            <v>1510</v>
          </cell>
          <cell r="M187">
            <v>2584</v>
          </cell>
          <cell r="N187">
            <v>1752</v>
          </cell>
          <cell r="O187">
            <v>1307</v>
          </cell>
          <cell r="P187">
            <v>4522</v>
          </cell>
          <cell r="Q187">
            <v>969</v>
          </cell>
          <cell r="R187">
            <v>969</v>
          </cell>
        </row>
        <row r="188">
          <cell r="K188">
            <v>1480</v>
          </cell>
          <cell r="L188">
            <v>1475</v>
          </cell>
          <cell r="M188">
            <v>2456</v>
          </cell>
          <cell r="N188">
            <v>1690</v>
          </cell>
          <cell r="O188">
            <v>1288</v>
          </cell>
          <cell r="P188">
            <v>4370</v>
          </cell>
          <cell r="Q188">
            <v>926</v>
          </cell>
          <cell r="R188">
            <v>988</v>
          </cell>
        </row>
        <row r="189">
          <cell r="K189">
            <v>1530</v>
          </cell>
          <cell r="L189">
            <v>1540</v>
          </cell>
          <cell r="M189">
            <v>2830</v>
          </cell>
          <cell r="N189">
            <v>1788</v>
          </cell>
          <cell r="O189">
            <v>1663</v>
          </cell>
          <cell r="P189">
            <v>4752</v>
          </cell>
          <cell r="Q189">
            <v>905</v>
          </cell>
          <cell r="R189">
            <v>1017</v>
          </cell>
        </row>
        <row r="190">
          <cell r="K190">
            <v>1521</v>
          </cell>
          <cell r="L190">
            <v>1512</v>
          </cell>
          <cell r="M190">
            <v>2810</v>
          </cell>
          <cell r="N190">
            <v>1772</v>
          </cell>
          <cell r="O190">
            <v>1357</v>
          </cell>
          <cell r="P190">
            <v>4821</v>
          </cell>
          <cell r="Q190">
            <v>854</v>
          </cell>
          <cell r="R190">
            <v>1157</v>
          </cell>
        </row>
        <row r="191">
          <cell r="K191">
            <v>1419</v>
          </cell>
          <cell r="L191">
            <v>1404</v>
          </cell>
          <cell r="M191">
            <v>2400</v>
          </cell>
          <cell r="N191">
            <v>1622</v>
          </cell>
          <cell r="O191">
            <v>1389</v>
          </cell>
          <cell r="P191">
            <v>4104</v>
          </cell>
          <cell r="Q191">
            <v>803</v>
          </cell>
          <cell r="R191">
            <v>900</v>
          </cell>
        </row>
        <row r="192">
          <cell r="K192">
            <v>1435</v>
          </cell>
          <cell r="L192">
            <v>1413</v>
          </cell>
          <cell r="M192">
            <v>2400</v>
          </cell>
          <cell r="N192">
            <v>1638</v>
          </cell>
          <cell r="O192">
            <v>1378</v>
          </cell>
          <cell r="P192">
            <v>4127</v>
          </cell>
          <cell r="Q192">
            <v>813</v>
          </cell>
          <cell r="R192">
            <v>914</v>
          </cell>
        </row>
        <row r="193">
          <cell r="K193">
            <v>1465</v>
          </cell>
          <cell r="L193">
            <v>1450</v>
          </cell>
          <cell r="M193">
            <v>2479</v>
          </cell>
          <cell r="N193">
            <v>1762</v>
          </cell>
          <cell r="O193">
            <v>1309</v>
          </cell>
          <cell r="P193">
            <v>4340</v>
          </cell>
          <cell r="Q193">
            <v>973</v>
          </cell>
          <cell r="R193">
            <v>889</v>
          </cell>
        </row>
        <row r="194">
          <cell r="K194">
            <v>1484</v>
          </cell>
          <cell r="L194">
            <v>1469</v>
          </cell>
          <cell r="M194">
            <v>2554</v>
          </cell>
          <cell r="N194">
            <v>1734</v>
          </cell>
          <cell r="O194">
            <v>1387</v>
          </cell>
          <cell r="P194">
            <v>4413</v>
          </cell>
          <cell r="Q194">
            <v>875</v>
          </cell>
          <cell r="R194">
            <v>985</v>
          </cell>
        </row>
        <row r="195">
          <cell r="K195">
            <v>1434</v>
          </cell>
          <cell r="L195">
            <v>1429</v>
          </cell>
          <cell r="M195">
            <v>2492</v>
          </cell>
          <cell r="N195">
            <v>1676</v>
          </cell>
          <cell r="O195">
            <v>1369</v>
          </cell>
          <cell r="P195">
            <v>4352</v>
          </cell>
          <cell r="Q195">
            <v>870</v>
          </cell>
          <cell r="R195">
            <v>990</v>
          </cell>
        </row>
        <row r="196">
          <cell r="K196">
            <v>1465</v>
          </cell>
          <cell r="L196">
            <v>1451</v>
          </cell>
          <cell r="M196">
            <v>2557</v>
          </cell>
          <cell r="N196">
            <v>1738</v>
          </cell>
          <cell r="O196">
            <v>1452</v>
          </cell>
          <cell r="P196">
            <v>4449</v>
          </cell>
          <cell r="Q196">
            <v>882</v>
          </cell>
          <cell r="R196">
            <v>1010</v>
          </cell>
        </row>
        <row r="197">
          <cell r="K197">
            <v>1392</v>
          </cell>
          <cell r="L197">
            <v>1341</v>
          </cell>
          <cell r="M197">
            <v>2384</v>
          </cell>
          <cell r="N197">
            <v>1600</v>
          </cell>
          <cell r="O197">
            <v>1368</v>
          </cell>
          <cell r="P197">
            <v>4081</v>
          </cell>
          <cell r="Q197">
            <v>874</v>
          </cell>
          <cell r="R197">
            <v>824</v>
          </cell>
        </row>
        <row r="198">
          <cell r="K198">
            <v>1395</v>
          </cell>
          <cell r="L198">
            <v>1340</v>
          </cell>
          <cell r="M198">
            <v>2378</v>
          </cell>
          <cell r="N198">
            <v>1596</v>
          </cell>
          <cell r="O198">
            <v>1367</v>
          </cell>
          <cell r="P198">
            <v>4260</v>
          </cell>
          <cell r="Q198">
            <v>879</v>
          </cell>
          <cell r="R198">
            <v>1003</v>
          </cell>
        </row>
        <row r="199">
          <cell r="K199">
            <v>1396</v>
          </cell>
          <cell r="L199">
            <v>1345</v>
          </cell>
          <cell r="M199">
            <v>2382</v>
          </cell>
          <cell r="N199">
            <v>1632</v>
          </cell>
          <cell r="O199">
            <v>1326</v>
          </cell>
          <cell r="P199">
            <v>4192</v>
          </cell>
          <cell r="Q199">
            <v>889</v>
          </cell>
          <cell r="R199">
            <v>921</v>
          </cell>
        </row>
        <row r="200">
          <cell r="K200">
            <v>1514</v>
          </cell>
          <cell r="L200">
            <v>1501</v>
          </cell>
          <cell r="M200">
            <v>2700</v>
          </cell>
          <cell r="N200">
            <v>1762</v>
          </cell>
          <cell r="O200">
            <v>1403</v>
          </cell>
          <cell r="P200">
            <v>4696</v>
          </cell>
          <cell r="Q200">
            <v>950</v>
          </cell>
          <cell r="R200">
            <v>1046</v>
          </cell>
        </row>
        <row r="201">
          <cell r="K201">
            <v>1345</v>
          </cell>
          <cell r="L201">
            <v>1345</v>
          </cell>
          <cell r="M201">
            <v>2445</v>
          </cell>
          <cell r="N201">
            <v>1648</v>
          </cell>
          <cell r="O201">
            <v>1296</v>
          </cell>
          <cell r="P201">
            <v>4307</v>
          </cell>
          <cell r="Q201">
            <v>978</v>
          </cell>
          <cell r="R201">
            <v>884</v>
          </cell>
        </row>
        <row r="202">
          <cell r="K202">
            <v>1498</v>
          </cell>
          <cell r="L202">
            <v>1488</v>
          </cell>
          <cell r="M202">
            <v>2875</v>
          </cell>
          <cell r="N202">
            <v>1846</v>
          </cell>
          <cell r="O202">
            <v>1366</v>
          </cell>
          <cell r="P202">
            <v>4992</v>
          </cell>
          <cell r="Q202">
            <v>884</v>
          </cell>
          <cell r="R202">
            <v>1232</v>
          </cell>
        </row>
        <row r="203">
          <cell r="K203">
            <v>1508</v>
          </cell>
          <cell r="L203">
            <v>1497</v>
          </cell>
          <cell r="M203">
            <v>2871</v>
          </cell>
          <cell r="N203">
            <v>1802</v>
          </cell>
          <cell r="O203">
            <v>1343</v>
          </cell>
          <cell r="P203">
            <v>5019</v>
          </cell>
          <cell r="Q203">
            <v>911</v>
          </cell>
          <cell r="R203">
            <v>1237</v>
          </cell>
        </row>
        <row r="204">
          <cell r="K204">
            <v>1510</v>
          </cell>
          <cell r="L204">
            <v>1498</v>
          </cell>
          <cell r="M204">
            <v>2587</v>
          </cell>
          <cell r="N204">
            <v>1846</v>
          </cell>
          <cell r="O204">
            <v>1311</v>
          </cell>
          <cell r="P204">
            <v>4757</v>
          </cell>
          <cell r="Q204">
            <v>972</v>
          </cell>
          <cell r="R204">
            <v>1198</v>
          </cell>
        </row>
        <row r="205">
          <cell r="K205">
            <v>1479</v>
          </cell>
          <cell r="L205">
            <v>1476</v>
          </cell>
          <cell r="M205">
            <v>2574</v>
          </cell>
          <cell r="N205">
            <v>1784</v>
          </cell>
          <cell r="O205">
            <v>1611</v>
          </cell>
          <cell r="P205">
            <v>4241</v>
          </cell>
          <cell r="Q205">
            <v>734</v>
          </cell>
          <cell r="R205">
            <v>933</v>
          </cell>
        </row>
        <row r="206">
          <cell r="K206">
            <v>1485</v>
          </cell>
          <cell r="L206">
            <v>1494</v>
          </cell>
          <cell r="M206">
            <v>2693</v>
          </cell>
          <cell r="N206">
            <v>1802</v>
          </cell>
          <cell r="O206">
            <v>1681</v>
          </cell>
          <cell r="P206">
            <v>4502</v>
          </cell>
          <cell r="Q206">
            <v>817</v>
          </cell>
          <cell r="R206">
            <v>992</v>
          </cell>
        </row>
        <row r="207">
          <cell r="K207">
            <v>1495</v>
          </cell>
          <cell r="L207">
            <v>1498</v>
          </cell>
          <cell r="M207">
            <v>2661</v>
          </cell>
          <cell r="N207">
            <v>1770</v>
          </cell>
          <cell r="O207">
            <v>1408</v>
          </cell>
          <cell r="P207">
            <v>4680</v>
          </cell>
          <cell r="Q207">
            <v>952</v>
          </cell>
          <cell r="R207">
            <v>1067</v>
          </cell>
        </row>
        <row r="208">
          <cell r="K208">
            <v>1442</v>
          </cell>
          <cell r="L208">
            <v>1437</v>
          </cell>
          <cell r="M208">
            <v>2492</v>
          </cell>
          <cell r="N208">
            <v>1698</v>
          </cell>
          <cell r="O208">
            <v>1382</v>
          </cell>
          <cell r="P208">
            <v>4353</v>
          </cell>
          <cell r="Q208">
            <v>880</v>
          </cell>
          <cell r="R208">
            <v>981</v>
          </cell>
        </row>
        <row r="209">
          <cell r="K209">
            <v>1442</v>
          </cell>
          <cell r="L209">
            <v>1442</v>
          </cell>
          <cell r="M209">
            <v>2657</v>
          </cell>
          <cell r="N209">
            <v>1738</v>
          </cell>
          <cell r="O209">
            <v>1670</v>
          </cell>
          <cell r="P209">
            <v>4285</v>
          </cell>
          <cell r="Q209">
            <v>672</v>
          </cell>
          <cell r="R209">
            <v>956</v>
          </cell>
        </row>
        <row r="210">
          <cell r="K210">
            <v>1437</v>
          </cell>
          <cell r="L210">
            <v>1409</v>
          </cell>
          <cell r="M210">
            <v>2545</v>
          </cell>
          <cell r="N210">
            <v>1702</v>
          </cell>
          <cell r="O210">
            <v>1422</v>
          </cell>
          <cell r="P210">
            <v>4342</v>
          </cell>
          <cell r="Q210">
            <v>885</v>
          </cell>
          <cell r="R210">
            <v>911</v>
          </cell>
        </row>
        <row r="211">
          <cell r="K211">
            <v>1400</v>
          </cell>
          <cell r="L211">
            <v>1400</v>
          </cell>
          <cell r="M211">
            <v>2470</v>
          </cell>
          <cell r="N211">
            <v>1620</v>
          </cell>
          <cell r="O211">
            <v>1350</v>
          </cell>
          <cell r="P211">
            <v>3885</v>
          </cell>
          <cell r="Q211">
            <v>740</v>
          </cell>
          <cell r="R211">
            <v>675</v>
          </cell>
        </row>
        <row r="212">
          <cell r="K212">
            <v>1453</v>
          </cell>
          <cell r="L212">
            <v>1425</v>
          </cell>
          <cell r="M212">
            <v>2547</v>
          </cell>
          <cell r="N212">
            <v>1708</v>
          </cell>
          <cell r="O212">
            <v>1430</v>
          </cell>
          <cell r="P212">
            <v>4003</v>
          </cell>
          <cell r="Q212">
            <v>826</v>
          </cell>
          <cell r="R212">
            <v>630</v>
          </cell>
        </row>
        <row r="213">
          <cell r="K213">
            <v>1543</v>
          </cell>
          <cell r="L213">
            <v>1526</v>
          </cell>
          <cell r="M213">
            <v>2698</v>
          </cell>
          <cell r="N213">
            <v>1826</v>
          </cell>
          <cell r="O213">
            <v>1462</v>
          </cell>
          <cell r="P213">
            <v>4677</v>
          </cell>
          <cell r="Q213">
            <v>941</v>
          </cell>
          <cell r="R213">
            <v>1038</v>
          </cell>
        </row>
        <row r="214">
          <cell r="K214">
            <v>1405</v>
          </cell>
          <cell r="L214">
            <v>1390</v>
          </cell>
          <cell r="M214">
            <v>2535</v>
          </cell>
          <cell r="N214">
            <v>1715</v>
          </cell>
          <cell r="O214">
            <v>1390</v>
          </cell>
          <cell r="P214">
            <v>4310</v>
          </cell>
          <cell r="Q214">
            <v>800</v>
          </cell>
          <cell r="R214">
            <v>975</v>
          </cell>
        </row>
        <row r="215">
          <cell r="K215">
            <v>1413</v>
          </cell>
          <cell r="L215">
            <v>1398</v>
          </cell>
          <cell r="M215">
            <v>2472</v>
          </cell>
          <cell r="N215">
            <v>1620</v>
          </cell>
          <cell r="O215">
            <v>1370</v>
          </cell>
          <cell r="P215">
            <v>4185</v>
          </cell>
          <cell r="Q215">
            <v>789</v>
          </cell>
          <cell r="R215">
            <v>923</v>
          </cell>
        </row>
        <row r="216">
          <cell r="K216">
            <v>1389</v>
          </cell>
          <cell r="L216">
            <v>1373</v>
          </cell>
          <cell r="M216">
            <v>2381</v>
          </cell>
          <cell r="N216">
            <v>1692</v>
          </cell>
          <cell r="O216">
            <v>1456</v>
          </cell>
          <cell r="P216">
            <v>3718</v>
          </cell>
          <cell r="Q216">
            <v>795</v>
          </cell>
          <cell r="R216">
            <v>542</v>
          </cell>
        </row>
        <row r="217">
          <cell r="K217">
            <v>1295</v>
          </cell>
          <cell r="L217">
            <v>1275</v>
          </cell>
          <cell r="M217">
            <v>2156</v>
          </cell>
          <cell r="N217">
            <v>1512</v>
          </cell>
          <cell r="O217">
            <v>1414</v>
          </cell>
          <cell r="P217">
            <v>3398</v>
          </cell>
          <cell r="Q217">
            <v>654</v>
          </cell>
          <cell r="R217">
            <v>588</v>
          </cell>
        </row>
        <row r="218">
          <cell r="K218">
            <v>1490</v>
          </cell>
          <cell r="L218">
            <v>1490</v>
          </cell>
          <cell r="M218">
            <v>2791</v>
          </cell>
          <cell r="N218">
            <v>1794</v>
          </cell>
          <cell r="O218">
            <v>2061</v>
          </cell>
          <cell r="P218">
            <v>4605</v>
          </cell>
          <cell r="Q218">
            <v>665</v>
          </cell>
          <cell r="R218">
            <v>1148</v>
          </cell>
        </row>
        <row r="219">
          <cell r="K219">
            <v>1491</v>
          </cell>
          <cell r="L219">
            <v>1491</v>
          </cell>
          <cell r="M219">
            <v>2535</v>
          </cell>
          <cell r="N219">
            <v>1810</v>
          </cell>
          <cell r="O219">
            <v>1943</v>
          </cell>
          <cell r="P219">
            <v>4525</v>
          </cell>
          <cell r="Q219">
            <v>830</v>
          </cell>
          <cell r="R219">
            <v>1160</v>
          </cell>
        </row>
        <row r="220">
          <cell r="K220">
            <v>1540</v>
          </cell>
          <cell r="L220">
            <v>1530</v>
          </cell>
          <cell r="M220">
            <v>2749</v>
          </cell>
          <cell r="N220">
            <v>1890</v>
          </cell>
          <cell r="O220">
            <v>1884</v>
          </cell>
          <cell r="P220">
            <v>4716</v>
          </cell>
          <cell r="Q220">
            <v>867</v>
          </cell>
          <cell r="R220">
            <v>1100</v>
          </cell>
        </row>
        <row r="221">
          <cell r="K221">
            <v>1550</v>
          </cell>
          <cell r="L221">
            <v>1515</v>
          </cell>
          <cell r="M221">
            <v>2665</v>
          </cell>
          <cell r="N221">
            <v>1798</v>
          </cell>
          <cell r="O221">
            <v>1400</v>
          </cell>
          <cell r="P221">
            <v>4832</v>
          </cell>
          <cell r="Q221">
            <v>1017</v>
          </cell>
          <cell r="R221">
            <v>1149</v>
          </cell>
        </row>
        <row r="222">
          <cell r="K222">
            <v>1365</v>
          </cell>
          <cell r="L222">
            <v>1355</v>
          </cell>
          <cell r="M222">
            <v>2645</v>
          </cell>
          <cell r="N222">
            <v>1620</v>
          </cell>
          <cell r="O222">
            <v>1410</v>
          </cell>
          <cell r="P222">
            <v>4025</v>
          </cell>
          <cell r="Q222">
            <v>690</v>
          </cell>
          <cell r="R222">
            <v>690</v>
          </cell>
        </row>
        <row r="223">
          <cell r="K223">
            <v>1205</v>
          </cell>
          <cell r="L223">
            <v>1160</v>
          </cell>
          <cell r="M223">
            <v>2035</v>
          </cell>
          <cell r="N223">
            <v>1410</v>
          </cell>
          <cell r="O223">
            <v>1325</v>
          </cell>
          <cell r="P223">
            <v>3060</v>
          </cell>
          <cell r="Q223">
            <v>500</v>
          </cell>
          <cell r="R223">
            <v>525</v>
          </cell>
        </row>
        <row r="224">
          <cell r="K224">
            <v>1402</v>
          </cell>
          <cell r="L224">
            <v>1386</v>
          </cell>
          <cell r="M224">
            <v>2294</v>
          </cell>
          <cell r="N224">
            <v>1610</v>
          </cell>
          <cell r="O224">
            <v>1455</v>
          </cell>
          <cell r="P224">
            <v>3469</v>
          </cell>
          <cell r="Q224">
            <v>659</v>
          </cell>
          <cell r="R224">
            <v>516</v>
          </cell>
        </row>
        <row r="225">
          <cell r="K225">
            <v>1417</v>
          </cell>
          <cell r="L225">
            <v>1404</v>
          </cell>
          <cell r="M225">
            <v>2394</v>
          </cell>
          <cell r="N225">
            <v>1660</v>
          </cell>
          <cell r="O225">
            <v>1475</v>
          </cell>
          <cell r="P225">
            <v>3803</v>
          </cell>
          <cell r="Q225">
            <v>705</v>
          </cell>
          <cell r="R225">
            <v>704</v>
          </cell>
        </row>
        <row r="226">
          <cell r="K226">
            <v>1458</v>
          </cell>
          <cell r="L226">
            <v>1457</v>
          </cell>
          <cell r="M226">
            <v>2506</v>
          </cell>
          <cell r="N226">
            <v>1710</v>
          </cell>
          <cell r="O226">
            <v>1398</v>
          </cell>
          <cell r="P226">
            <v>4025</v>
          </cell>
          <cell r="Q226">
            <v>792</v>
          </cell>
          <cell r="R226">
            <v>727</v>
          </cell>
        </row>
        <row r="227">
          <cell r="K227">
            <v>1424</v>
          </cell>
          <cell r="L227">
            <v>1430</v>
          </cell>
          <cell r="M227">
            <v>2449</v>
          </cell>
          <cell r="N227">
            <v>1670</v>
          </cell>
          <cell r="O227">
            <v>1380</v>
          </cell>
          <cell r="P227">
            <v>3990</v>
          </cell>
          <cell r="Q227">
            <v>780</v>
          </cell>
          <cell r="R227">
            <v>761</v>
          </cell>
        </row>
        <row r="228">
          <cell r="K228">
            <v>1395</v>
          </cell>
          <cell r="L228">
            <v>1420</v>
          </cell>
          <cell r="M228">
            <v>2400</v>
          </cell>
          <cell r="N228">
            <v>1644</v>
          </cell>
          <cell r="O228">
            <v>1383</v>
          </cell>
          <cell r="P228">
            <v>3984</v>
          </cell>
          <cell r="Q228">
            <v>800</v>
          </cell>
          <cell r="R228">
            <v>784</v>
          </cell>
        </row>
        <row r="229">
          <cell r="K229">
            <v>1398</v>
          </cell>
          <cell r="L229">
            <v>1412</v>
          </cell>
          <cell r="M229">
            <v>2364</v>
          </cell>
          <cell r="N229">
            <v>1636</v>
          </cell>
          <cell r="O229">
            <v>1356</v>
          </cell>
          <cell r="P229">
            <v>3951</v>
          </cell>
          <cell r="Q229">
            <v>792</v>
          </cell>
          <cell r="R229">
            <v>795</v>
          </cell>
        </row>
        <row r="230">
          <cell r="K230">
            <v>1295</v>
          </cell>
          <cell r="L230">
            <v>1310</v>
          </cell>
          <cell r="M230">
            <v>2315</v>
          </cell>
          <cell r="N230">
            <v>1610</v>
          </cell>
          <cell r="O230">
            <v>1375</v>
          </cell>
          <cell r="P230">
            <v>3830</v>
          </cell>
          <cell r="Q230">
            <v>715</v>
          </cell>
          <cell r="R230">
            <v>805</v>
          </cell>
        </row>
        <row r="231">
          <cell r="K231">
            <v>1425</v>
          </cell>
          <cell r="L231">
            <v>1432</v>
          </cell>
          <cell r="M231">
            <v>2495</v>
          </cell>
          <cell r="N231">
            <v>1692</v>
          </cell>
          <cell r="O231">
            <v>1336</v>
          </cell>
          <cell r="P231">
            <v>4254</v>
          </cell>
          <cell r="Q231">
            <v>916</v>
          </cell>
          <cell r="R231">
            <v>843</v>
          </cell>
        </row>
        <row r="232">
          <cell r="K232">
            <v>1456</v>
          </cell>
          <cell r="L232">
            <v>1459</v>
          </cell>
          <cell r="M232">
            <v>2604</v>
          </cell>
          <cell r="N232">
            <v>1708</v>
          </cell>
          <cell r="O232">
            <v>1410</v>
          </cell>
          <cell r="P232">
            <v>4334</v>
          </cell>
          <cell r="Q232">
            <v>799</v>
          </cell>
          <cell r="R232">
            <v>931</v>
          </cell>
        </row>
        <row r="233">
          <cell r="K233">
            <v>1423</v>
          </cell>
          <cell r="L233">
            <v>1432</v>
          </cell>
          <cell r="M233">
            <v>2495</v>
          </cell>
          <cell r="N233">
            <v>1672</v>
          </cell>
          <cell r="O233">
            <v>1369</v>
          </cell>
          <cell r="P233">
            <v>4211</v>
          </cell>
          <cell r="Q233">
            <v>782</v>
          </cell>
          <cell r="R233">
            <v>934</v>
          </cell>
        </row>
        <row r="234">
          <cell r="K234">
            <v>1468</v>
          </cell>
          <cell r="L234">
            <v>1468</v>
          </cell>
          <cell r="M234">
            <v>2575</v>
          </cell>
          <cell r="N234">
            <v>1696</v>
          </cell>
          <cell r="O234">
            <v>1366</v>
          </cell>
          <cell r="P234">
            <v>4509</v>
          </cell>
          <cell r="Q234">
            <v>940</v>
          </cell>
          <cell r="R234">
            <v>994</v>
          </cell>
        </row>
        <row r="235">
          <cell r="K235">
            <v>1466</v>
          </cell>
          <cell r="L235">
            <v>1452</v>
          </cell>
          <cell r="M235">
            <v>2577</v>
          </cell>
          <cell r="N235">
            <v>1698</v>
          </cell>
          <cell r="O235">
            <v>1384</v>
          </cell>
          <cell r="P235">
            <v>4510</v>
          </cell>
          <cell r="Q235">
            <v>937</v>
          </cell>
          <cell r="R235">
            <v>996</v>
          </cell>
        </row>
        <row r="236">
          <cell r="K236">
            <v>1290</v>
          </cell>
          <cell r="L236">
            <v>1290</v>
          </cell>
          <cell r="M236">
            <v>2470</v>
          </cell>
          <cell r="N236">
            <v>1580</v>
          </cell>
          <cell r="O236">
            <v>1415</v>
          </cell>
          <cell r="P236">
            <v>4270</v>
          </cell>
          <cell r="Q236">
            <v>775</v>
          </cell>
          <cell r="R236">
            <v>1020</v>
          </cell>
        </row>
        <row r="237">
          <cell r="K237">
            <v>1464</v>
          </cell>
          <cell r="L237">
            <v>1467</v>
          </cell>
          <cell r="M237">
            <v>2611</v>
          </cell>
          <cell r="N237">
            <v>1716</v>
          </cell>
          <cell r="O237">
            <v>1435</v>
          </cell>
          <cell r="P237">
            <v>4570</v>
          </cell>
          <cell r="Q237">
            <v>910</v>
          </cell>
          <cell r="R237">
            <v>1050</v>
          </cell>
        </row>
        <row r="238">
          <cell r="K238">
            <v>1464</v>
          </cell>
          <cell r="L238">
            <v>1468</v>
          </cell>
          <cell r="M238">
            <v>2609</v>
          </cell>
          <cell r="N238">
            <v>1708</v>
          </cell>
          <cell r="O238">
            <v>1441</v>
          </cell>
          <cell r="P238">
            <v>4572</v>
          </cell>
          <cell r="Q238">
            <v>910</v>
          </cell>
          <cell r="R238">
            <v>1053</v>
          </cell>
        </row>
        <row r="239">
          <cell r="K239">
            <v>1465</v>
          </cell>
          <cell r="L239">
            <v>1460</v>
          </cell>
          <cell r="M239">
            <v>2580</v>
          </cell>
          <cell r="N239">
            <v>1696</v>
          </cell>
          <cell r="O239">
            <v>1437</v>
          </cell>
          <cell r="P239">
            <v>4579</v>
          </cell>
          <cell r="Q239">
            <v>934</v>
          </cell>
          <cell r="R239">
            <v>1065</v>
          </cell>
        </row>
        <row r="240">
          <cell r="K240">
            <v>1498</v>
          </cell>
          <cell r="L240">
            <v>1499</v>
          </cell>
          <cell r="M240">
            <v>2608</v>
          </cell>
          <cell r="N240">
            <v>1766</v>
          </cell>
          <cell r="O240">
            <v>1393</v>
          </cell>
          <cell r="P240">
            <v>4695</v>
          </cell>
          <cell r="Q240">
            <v>1004</v>
          </cell>
          <cell r="R240">
            <v>1082</v>
          </cell>
        </row>
        <row r="241">
          <cell r="K241">
            <v>1498</v>
          </cell>
          <cell r="L241">
            <v>1495</v>
          </cell>
          <cell r="M241">
            <v>2606</v>
          </cell>
          <cell r="N241">
            <v>1774</v>
          </cell>
          <cell r="O241">
            <v>1394</v>
          </cell>
          <cell r="P241">
            <v>4695</v>
          </cell>
          <cell r="Q241">
            <v>1005</v>
          </cell>
          <cell r="R241">
            <v>1083</v>
          </cell>
        </row>
        <row r="242">
          <cell r="K242">
            <v>1446</v>
          </cell>
          <cell r="L242">
            <v>1451</v>
          </cell>
          <cell r="M242">
            <v>2712</v>
          </cell>
          <cell r="N242">
            <v>1706</v>
          </cell>
          <cell r="O242">
            <v>1416</v>
          </cell>
          <cell r="P242">
            <v>4876</v>
          </cell>
          <cell r="Q242">
            <v>960</v>
          </cell>
          <cell r="R242">
            <v>1204</v>
          </cell>
        </row>
        <row r="243">
          <cell r="K243">
            <v>1510</v>
          </cell>
          <cell r="L243">
            <v>1525</v>
          </cell>
          <cell r="M243">
            <v>2845</v>
          </cell>
          <cell r="N243">
            <v>1798</v>
          </cell>
          <cell r="O243">
            <v>1371</v>
          </cell>
          <cell r="P243">
            <v>4924</v>
          </cell>
          <cell r="Q243">
            <v>871</v>
          </cell>
          <cell r="R243">
            <v>1208</v>
          </cell>
        </row>
        <row r="244">
          <cell r="K244">
            <v>1460</v>
          </cell>
          <cell r="L244">
            <v>1461</v>
          </cell>
          <cell r="M244">
            <v>2605</v>
          </cell>
          <cell r="N244">
            <v>1706</v>
          </cell>
          <cell r="O244">
            <v>1357</v>
          </cell>
          <cell r="P244">
            <v>4239</v>
          </cell>
          <cell r="Q244">
            <v>862</v>
          </cell>
          <cell r="R244">
            <v>772</v>
          </cell>
        </row>
        <row r="245">
          <cell r="K245">
            <v>1462</v>
          </cell>
          <cell r="L245">
            <v>1465</v>
          </cell>
          <cell r="M245">
            <v>2505</v>
          </cell>
          <cell r="N245">
            <v>1706</v>
          </cell>
          <cell r="O245">
            <v>1412</v>
          </cell>
          <cell r="P245">
            <v>4039</v>
          </cell>
          <cell r="Q245">
            <v>804</v>
          </cell>
          <cell r="R245">
            <v>730</v>
          </cell>
        </row>
        <row r="246">
          <cell r="K246">
            <v>1520</v>
          </cell>
          <cell r="L246">
            <v>1540</v>
          </cell>
          <cell r="M246">
            <v>2809</v>
          </cell>
          <cell r="N246">
            <v>1850</v>
          </cell>
          <cell r="O246">
            <v>1786</v>
          </cell>
          <cell r="P246">
            <v>4656</v>
          </cell>
          <cell r="Q246">
            <v>897</v>
          </cell>
          <cell r="R246">
            <v>950</v>
          </cell>
        </row>
        <row r="247">
          <cell r="K247">
            <v>1497</v>
          </cell>
          <cell r="L247">
            <v>1493</v>
          </cell>
          <cell r="M247">
            <v>2609</v>
          </cell>
          <cell r="N247">
            <v>1754</v>
          </cell>
          <cell r="O247">
            <v>1324</v>
          </cell>
          <cell r="P247">
            <v>4694</v>
          </cell>
          <cell r="Q247">
            <v>929</v>
          </cell>
          <cell r="R247">
            <v>1155</v>
          </cell>
        </row>
        <row r="248">
          <cell r="K248">
            <v>1460</v>
          </cell>
          <cell r="L248">
            <v>1463</v>
          </cell>
          <cell r="M248">
            <v>2451</v>
          </cell>
          <cell r="N248">
            <v>1696</v>
          </cell>
          <cell r="O248">
            <v>1304</v>
          </cell>
          <cell r="P248">
            <v>4210</v>
          </cell>
          <cell r="Q248">
            <v>920</v>
          </cell>
          <cell r="R248">
            <v>839</v>
          </cell>
        </row>
        <row r="249">
          <cell r="K249">
            <v>1410</v>
          </cell>
          <cell r="L249">
            <v>1405</v>
          </cell>
          <cell r="M249">
            <v>2430</v>
          </cell>
          <cell r="N249">
            <v>1684</v>
          </cell>
          <cell r="O249">
            <v>1268</v>
          </cell>
          <cell r="P249">
            <v>4288</v>
          </cell>
          <cell r="Q249">
            <v>897</v>
          </cell>
          <cell r="R249">
            <v>961</v>
          </cell>
        </row>
        <row r="250">
          <cell r="K250">
            <v>1533</v>
          </cell>
          <cell r="L250">
            <v>1529</v>
          </cell>
          <cell r="M250">
            <v>2744</v>
          </cell>
          <cell r="N250">
            <v>1769</v>
          </cell>
          <cell r="O250">
            <v>1380</v>
          </cell>
          <cell r="P250">
            <v>4827</v>
          </cell>
          <cell r="Q250">
            <v>953</v>
          </cell>
          <cell r="R250">
            <v>1129</v>
          </cell>
        </row>
        <row r="251">
          <cell r="K251">
            <v>1505</v>
          </cell>
          <cell r="L251">
            <v>1456</v>
          </cell>
          <cell r="M251">
            <v>2689</v>
          </cell>
          <cell r="N251">
            <v>1724</v>
          </cell>
          <cell r="O251">
            <v>1381</v>
          </cell>
          <cell r="P251">
            <v>4566</v>
          </cell>
          <cell r="Q251">
            <v>868</v>
          </cell>
          <cell r="R251">
            <v>1009</v>
          </cell>
        </row>
        <row r="252">
          <cell r="K252">
            <v>1633</v>
          </cell>
          <cell r="L252">
            <v>1634</v>
          </cell>
          <cell r="M252">
            <v>3002</v>
          </cell>
          <cell r="N252">
            <v>1934</v>
          </cell>
          <cell r="O252">
            <v>2347</v>
          </cell>
          <cell r="P252">
            <v>4835</v>
          </cell>
          <cell r="Q252">
            <v>891</v>
          </cell>
          <cell r="R252">
            <v>942</v>
          </cell>
        </row>
        <row r="253">
          <cell r="K253">
            <v>1632</v>
          </cell>
          <cell r="L253">
            <v>1609</v>
          </cell>
          <cell r="M253">
            <v>3006</v>
          </cell>
          <cell r="N253">
            <v>1870</v>
          </cell>
          <cell r="O253">
            <v>1895</v>
          </cell>
          <cell r="P253">
            <v>4665</v>
          </cell>
          <cell r="Q253">
            <v>813</v>
          </cell>
          <cell r="R253">
            <v>845</v>
          </cell>
        </row>
        <row r="254">
          <cell r="K254">
            <v>1609</v>
          </cell>
          <cell r="L254">
            <v>1619</v>
          </cell>
          <cell r="M254">
            <v>3007</v>
          </cell>
          <cell r="N254">
            <v>1888</v>
          </cell>
          <cell r="O254">
            <v>1864</v>
          </cell>
          <cell r="P254">
            <v>4664</v>
          </cell>
          <cell r="Q254">
            <v>812</v>
          </cell>
          <cell r="R254">
            <v>844</v>
          </cell>
        </row>
        <row r="255">
          <cell r="K255">
            <v>1535</v>
          </cell>
          <cell r="L255">
            <v>1529</v>
          </cell>
          <cell r="M255">
            <v>2828</v>
          </cell>
          <cell r="N255">
            <v>1800</v>
          </cell>
          <cell r="O255">
            <v>1434</v>
          </cell>
          <cell r="P255">
            <v>4798</v>
          </cell>
          <cell r="Q255">
            <v>826</v>
          </cell>
          <cell r="R255">
            <v>1144</v>
          </cell>
        </row>
        <row r="256">
          <cell r="K256">
            <v>1416</v>
          </cell>
          <cell r="L256">
            <v>1405</v>
          </cell>
          <cell r="M256">
            <v>2660</v>
          </cell>
          <cell r="N256">
            <v>1688</v>
          </cell>
          <cell r="O256">
            <v>1400</v>
          </cell>
          <cell r="P256">
            <v>4445</v>
          </cell>
          <cell r="Q256">
            <v>769</v>
          </cell>
          <cell r="R256">
            <v>1016</v>
          </cell>
        </row>
        <row r="257">
          <cell r="K257">
            <v>1416</v>
          </cell>
          <cell r="L257">
            <v>1400</v>
          </cell>
          <cell r="M257">
            <v>2660</v>
          </cell>
          <cell r="N257">
            <v>1680</v>
          </cell>
          <cell r="O257">
            <v>1385</v>
          </cell>
          <cell r="P257">
            <v>4421</v>
          </cell>
          <cell r="Q257">
            <v>751</v>
          </cell>
          <cell r="R257">
            <v>1010</v>
          </cell>
        </row>
        <row r="258">
          <cell r="K258">
            <v>1485</v>
          </cell>
          <cell r="L258">
            <v>1480</v>
          </cell>
          <cell r="M258">
            <v>2798</v>
          </cell>
          <cell r="N258">
            <v>1744</v>
          </cell>
          <cell r="O258">
            <v>1447</v>
          </cell>
          <cell r="P258">
            <v>4737</v>
          </cell>
          <cell r="Q258">
            <v>813</v>
          </cell>
          <cell r="R258">
            <v>1126</v>
          </cell>
        </row>
        <row r="259">
          <cell r="K259">
            <v>1487</v>
          </cell>
          <cell r="L259">
            <v>1477</v>
          </cell>
          <cell r="M259">
            <v>2795</v>
          </cell>
          <cell r="N259">
            <v>1742</v>
          </cell>
          <cell r="O259">
            <v>1452</v>
          </cell>
          <cell r="P259">
            <v>4770</v>
          </cell>
          <cell r="Q259">
            <v>824</v>
          </cell>
          <cell r="R259">
            <v>851</v>
          </cell>
        </row>
        <row r="260">
          <cell r="K260">
            <v>1509</v>
          </cell>
          <cell r="L260">
            <v>1470</v>
          </cell>
          <cell r="M260">
            <v>2690</v>
          </cell>
          <cell r="N260">
            <v>1722</v>
          </cell>
          <cell r="O260">
            <v>1428</v>
          </cell>
          <cell r="P260">
            <v>4487</v>
          </cell>
          <cell r="Q260">
            <v>791</v>
          </cell>
          <cell r="R260">
            <v>1006</v>
          </cell>
        </row>
        <row r="261">
          <cell r="K261">
            <v>1506</v>
          </cell>
          <cell r="L261">
            <v>1463</v>
          </cell>
          <cell r="M261">
            <v>2685</v>
          </cell>
          <cell r="N261">
            <v>1736</v>
          </cell>
          <cell r="O261">
            <v>1419</v>
          </cell>
          <cell r="P261">
            <v>4492</v>
          </cell>
          <cell r="Q261">
            <v>794</v>
          </cell>
          <cell r="R261">
            <v>1013</v>
          </cell>
        </row>
        <row r="262">
          <cell r="K262">
            <v>1500</v>
          </cell>
          <cell r="L262">
            <v>1489</v>
          </cell>
          <cell r="M262">
            <v>2717</v>
          </cell>
          <cell r="N262">
            <v>1740</v>
          </cell>
          <cell r="O262">
            <v>1395</v>
          </cell>
          <cell r="P262">
            <v>4656</v>
          </cell>
          <cell r="Q262">
            <v>813</v>
          </cell>
          <cell r="R262">
            <v>1126</v>
          </cell>
        </row>
        <row r="263">
          <cell r="K263">
            <v>1545</v>
          </cell>
          <cell r="L263">
            <v>1536</v>
          </cell>
          <cell r="M263">
            <v>2833</v>
          </cell>
          <cell r="N263">
            <v>1798</v>
          </cell>
          <cell r="O263">
            <v>1507</v>
          </cell>
          <cell r="P263">
            <v>4825</v>
          </cell>
          <cell r="Q263">
            <v>823</v>
          </cell>
          <cell r="R263">
            <v>1169</v>
          </cell>
        </row>
        <row r="264">
          <cell r="K264">
            <v>1544</v>
          </cell>
          <cell r="L264">
            <v>1515</v>
          </cell>
          <cell r="M264">
            <v>2932</v>
          </cell>
          <cell r="N264">
            <v>1822</v>
          </cell>
          <cell r="O264">
            <v>1422</v>
          </cell>
          <cell r="P264">
            <v>4997</v>
          </cell>
          <cell r="Q264">
            <v>875</v>
          </cell>
          <cell r="R264">
            <v>1190</v>
          </cell>
        </row>
        <row r="265">
          <cell r="K265">
            <v>1610</v>
          </cell>
          <cell r="L265">
            <v>1564</v>
          </cell>
          <cell r="M265">
            <v>3036</v>
          </cell>
          <cell r="N265">
            <v>1888</v>
          </cell>
          <cell r="O265">
            <v>1489</v>
          </cell>
          <cell r="P265">
            <v>5116</v>
          </cell>
          <cell r="Q265">
            <v>875</v>
          </cell>
          <cell r="R265">
            <v>1205</v>
          </cell>
        </row>
        <row r="266">
          <cell r="K266">
            <v>1487</v>
          </cell>
          <cell r="L266">
            <v>1458</v>
          </cell>
          <cell r="M266">
            <v>2398</v>
          </cell>
          <cell r="N266">
            <v>1714</v>
          </cell>
          <cell r="O266">
            <v>1294</v>
          </cell>
          <cell r="P266">
            <v>3999</v>
          </cell>
          <cell r="Q266">
            <v>801</v>
          </cell>
          <cell r="R266">
            <v>800</v>
          </cell>
        </row>
        <row r="267">
          <cell r="K267">
            <v>1395</v>
          </cell>
          <cell r="L267">
            <v>1415</v>
          </cell>
          <cell r="M267">
            <v>2400</v>
          </cell>
          <cell r="N267">
            <v>1770</v>
          </cell>
          <cell r="O267">
            <v>1335</v>
          </cell>
          <cell r="P267">
            <v>4350</v>
          </cell>
          <cell r="Q267">
            <v>965</v>
          </cell>
          <cell r="R267">
            <v>985</v>
          </cell>
        </row>
        <row r="268">
          <cell r="K268">
            <v>1406</v>
          </cell>
          <cell r="L268">
            <v>1412</v>
          </cell>
          <cell r="M268">
            <v>2372</v>
          </cell>
          <cell r="N268">
            <v>1626</v>
          </cell>
          <cell r="O268">
            <v>1260</v>
          </cell>
          <cell r="P268">
            <v>3907</v>
          </cell>
          <cell r="Q268">
            <v>806</v>
          </cell>
          <cell r="R268">
            <v>730</v>
          </cell>
        </row>
        <row r="269">
          <cell r="K269">
            <v>1455</v>
          </cell>
          <cell r="L269">
            <v>1475</v>
          </cell>
          <cell r="M269">
            <v>2550</v>
          </cell>
          <cell r="N269">
            <v>1712</v>
          </cell>
          <cell r="O269">
            <v>1420</v>
          </cell>
          <cell r="P269">
            <v>4431</v>
          </cell>
          <cell r="Q269">
            <v>876</v>
          </cell>
          <cell r="R269">
            <v>1004</v>
          </cell>
        </row>
        <row r="270">
          <cell r="K270">
            <v>1459</v>
          </cell>
          <cell r="L270">
            <v>1466</v>
          </cell>
          <cell r="M270">
            <v>2547</v>
          </cell>
          <cell r="N270">
            <v>1712</v>
          </cell>
          <cell r="O270">
            <v>1408</v>
          </cell>
          <cell r="P270">
            <v>4429</v>
          </cell>
          <cell r="Q270">
            <v>877</v>
          </cell>
          <cell r="R270">
            <v>1006</v>
          </cell>
        </row>
        <row r="271">
          <cell r="K271">
            <v>1455</v>
          </cell>
          <cell r="L271">
            <v>1459</v>
          </cell>
          <cell r="M271">
            <v>2418</v>
          </cell>
          <cell r="N271">
            <v>1684</v>
          </cell>
          <cell r="O271">
            <v>1368</v>
          </cell>
          <cell r="P271">
            <v>3874</v>
          </cell>
          <cell r="Q271">
            <v>803</v>
          </cell>
          <cell r="R271">
            <v>653</v>
          </cell>
        </row>
        <row r="272">
          <cell r="K272">
            <v>1452</v>
          </cell>
          <cell r="L272">
            <v>1456</v>
          </cell>
          <cell r="M272">
            <v>2444</v>
          </cell>
          <cell r="N272">
            <v>1702</v>
          </cell>
          <cell r="O272">
            <v>1370</v>
          </cell>
          <cell r="P272">
            <v>3957</v>
          </cell>
          <cell r="Q272">
            <v>815</v>
          </cell>
          <cell r="R272">
            <v>698</v>
          </cell>
        </row>
        <row r="273">
          <cell r="K273">
            <v>1436</v>
          </cell>
          <cell r="L273">
            <v>1430</v>
          </cell>
          <cell r="M273">
            <v>2388</v>
          </cell>
          <cell r="N273">
            <v>1676</v>
          </cell>
          <cell r="O273">
            <v>1393</v>
          </cell>
          <cell r="P273">
            <v>3950</v>
          </cell>
          <cell r="Q273">
            <v>857</v>
          </cell>
          <cell r="R273">
            <v>705</v>
          </cell>
        </row>
        <row r="274">
          <cell r="K274">
            <v>1395</v>
          </cell>
          <cell r="L274">
            <v>1345</v>
          </cell>
          <cell r="M274">
            <v>2390</v>
          </cell>
          <cell r="N274">
            <v>1638</v>
          </cell>
          <cell r="O274">
            <v>1366</v>
          </cell>
          <cell r="P274">
            <v>3866</v>
          </cell>
          <cell r="Q274">
            <v>785</v>
          </cell>
          <cell r="R274">
            <v>691</v>
          </cell>
        </row>
        <row r="275">
          <cell r="K275">
            <v>1370</v>
          </cell>
          <cell r="L275">
            <v>1340</v>
          </cell>
          <cell r="M275">
            <v>2385</v>
          </cell>
          <cell r="N275">
            <v>1585</v>
          </cell>
          <cell r="O275">
            <v>1330</v>
          </cell>
          <cell r="P275">
            <v>3905</v>
          </cell>
          <cell r="Q275">
            <v>790</v>
          </cell>
          <cell r="R275">
            <v>730</v>
          </cell>
        </row>
        <row r="276">
          <cell r="K276">
            <v>1450</v>
          </cell>
          <cell r="L276">
            <v>1405</v>
          </cell>
          <cell r="M276">
            <v>2605</v>
          </cell>
          <cell r="N276">
            <v>1696</v>
          </cell>
          <cell r="O276">
            <v>1383</v>
          </cell>
          <cell r="P276">
            <v>4562</v>
          </cell>
          <cell r="Q276">
            <v>946</v>
          </cell>
          <cell r="R276">
            <v>1011</v>
          </cell>
        </row>
        <row r="277">
          <cell r="K277">
            <v>1463</v>
          </cell>
          <cell r="L277">
            <v>1445</v>
          </cell>
          <cell r="M277">
            <v>2602</v>
          </cell>
          <cell r="N277">
            <v>1696</v>
          </cell>
          <cell r="O277">
            <v>1418</v>
          </cell>
          <cell r="P277">
            <v>4538</v>
          </cell>
          <cell r="Q277">
            <v>917</v>
          </cell>
          <cell r="R277">
            <v>1020</v>
          </cell>
        </row>
        <row r="278">
          <cell r="K278">
            <v>1510</v>
          </cell>
          <cell r="L278">
            <v>1502</v>
          </cell>
          <cell r="M278">
            <v>2640</v>
          </cell>
          <cell r="N278">
            <v>1742</v>
          </cell>
          <cell r="O278">
            <v>1390</v>
          </cell>
          <cell r="P278">
            <v>4618</v>
          </cell>
          <cell r="Q278">
            <v>926</v>
          </cell>
          <cell r="R278">
            <v>1052</v>
          </cell>
        </row>
        <row r="279">
          <cell r="K279">
            <v>1510</v>
          </cell>
          <cell r="L279">
            <v>1505</v>
          </cell>
          <cell r="M279">
            <v>2643</v>
          </cell>
          <cell r="N279">
            <v>1740</v>
          </cell>
          <cell r="O279">
            <v>1422</v>
          </cell>
          <cell r="P279">
            <v>4624</v>
          </cell>
          <cell r="Q279">
            <v>927</v>
          </cell>
          <cell r="R279">
            <v>1053</v>
          </cell>
        </row>
        <row r="280">
          <cell r="K280">
            <v>1508</v>
          </cell>
          <cell r="L280">
            <v>1499</v>
          </cell>
          <cell r="M280">
            <v>2636</v>
          </cell>
          <cell r="N280">
            <v>1740</v>
          </cell>
          <cell r="O280">
            <v>1399</v>
          </cell>
          <cell r="P280">
            <v>4615</v>
          </cell>
          <cell r="Q280">
            <v>923</v>
          </cell>
          <cell r="R280">
            <v>1056</v>
          </cell>
        </row>
        <row r="281">
          <cell r="K281">
            <v>1508</v>
          </cell>
          <cell r="L281">
            <v>1501</v>
          </cell>
          <cell r="M281">
            <v>2645</v>
          </cell>
          <cell r="N281">
            <v>1740</v>
          </cell>
          <cell r="O281">
            <v>1485</v>
          </cell>
          <cell r="P281">
            <v>4673</v>
          </cell>
          <cell r="Q281">
            <v>922</v>
          </cell>
          <cell r="R281">
            <v>1106</v>
          </cell>
        </row>
        <row r="282">
          <cell r="K282">
            <v>1433</v>
          </cell>
          <cell r="L282">
            <v>1418</v>
          </cell>
          <cell r="M282">
            <v>2456</v>
          </cell>
          <cell r="N282">
            <v>1674</v>
          </cell>
          <cell r="O282">
            <v>1422</v>
          </cell>
          <cell r="P282">
            <v>4234</v>
          </cell>
          <cell r="Q282">
            <v>861</v>
          </cell>
          <cell r="R282">
            <v>917</v>
          </cell>
        </row>
        <row r="283">
          <cell r="K283">
            <v>1435</v>
          </cell>
          <cell r="L283">
            <v>1430</v>
          </cell>
          <cell r="M283">
            <v>2456</v>
          </cell>
          <cell r="N283">
            <v>1680</v>
          </cell>
          <cell r="O283">
            <v>1406</v>
          </cell>
          <cell r="P283">
            <v>4237</v>
          </cell>
          <cell r="Q283">
            <v>858</v>
          </cell>
          <cell r="R283">
            <v>922</v>
          </cell>
        </row>
        <row r="284">
          <cell r="K284">
            <v>1451</v>
          </cell>
          <cell r="L284">
            <v>1453</v>
          </cell>
          <cell r="M284">
            <v>2507</v>
          </cell>
          <cell r="N284">
            <v>1688</v>
          </cell>
          <cell r="O284">
            <v>1379</v>
          </cell>
          <cell r="P284">
            <v>4278</v>
          </cell>
          <cell r="Q284">
            <v>827</v>
          </cell>
          <cell r="R284">
            <v>944</v>
          </cell>
        </row>
        <row r="285">
          <cell r="K285">
            <v>1452</v>
          </cell>
          <cell r="L285">
            <v>1448</v>
          </cell>
          <cell r="M285">
            <v>2502</v>
          </cell>
          <cell r="N285">
            <v>1394</v>
          </cell>
          <cell r="O285">
            <v>1388</v>
          </cell>
          <cell r="P285">
            <v>4285</v>
          </cell>
          <cell r="Q285">
            <v>834</v>
          </cell>
          <cell r="R285">
            <v>948</v>
          </cell>
        </row>
        <row r="286">
          <cell r="K286">
            <v>1335</v>
          </cell>
          <cell r="L286">
            <v>1325</v>
          </cell>
          <cell r="M286">
            <v>2440</v>
          </cell>
          <cell r="N286">
            <v>1620</v>
          </cell>
          <cell r="O286">
            <v>1395</v>
          </cell>
          <cell r="P286">
            <v>4230</v>
          </cell>
          <cell r="Q286">
            <v>750</v>
          </cell>
          <cell r="R286">
            <v>1035</v>
          </cell>
        </row>
        <row r="287">
          <cell r="K287">
            <v>1455</v>
          </cell>
          <cell r="L287">
            <v>1418</v>
          </cell>
          <cell r="M287">
            <v>2507</v>
          </cell>
          <cell r="N287">
            <v>1692</v>
          </cell>
          <cell r="O287">
            <v>1482</v>
          </cell>
          <cell r="P287">
            <v>4275</v>
          </cell>
          <cell r="Q287">
            <v>829</v>
          </cell>
          <cell r="R287">
            <v>939</v>
          </cell>
        </row>
        <row r="288">
          <cell r="K288">
            <v>1472</v>
          </cell>
          <cell r="L288">
            <v>1481</v>
          </cell>
          <cell r="M288">
            <v>2723</v>
          </cell>
          <cell r="N288">
            <v>1788</v>
          </cell>
          <cell r="O288">
            <v>1871</v>
          </cell>
          <cell r="P288">
            <v>4729</v>
          </cell>
          <cell r="Q288">
            <v>726</v>
          </cell>
          <cell r="R288">
            <v>1280</v>
          </cell>
        </row>
        <row r="289">
          <cell r="K289">
            <v>1462</v>
          </cell>
          <cell r="L289">
            <v>1467</v>
          </cell>
          <cell r="M289">
            <v>2512</v>
          </cell>
          <cell r="N289">
            <v>1700</v>
          </cell>
          <cell r="O289">
            <v>1651</v>
          </cell>
          <cell r="P289">
            <v>4288</v>
          </cell>
          <cell r="Q289">
            <v>896</v>
          </cell>
          <cell r="R289">
            <v>879</v>
          </cell>
        </row>
        <row r="290">
          <cell r="K290">
            <v>1532</v>
          </cell>
          <cell r="L290">
            <v>1542</v>
          </cell>
          <cell r="M290">
            <v>2723</v>
          </cell>
          <cell r="N290">
            <v>1768</v>
          </cell>
          <cell r="O290">
            <v>1442</v>
          </cell>
          <cell r="P290">
            <v>4742</v>
          </cell>
          <cell r="Q290">
            <v>964</v>
          </cell>
          <cell r="R290">
            <v>1055</v>
          </cell>
        </row>
        <row r="291">
          <cell r="K291">
            <v>1415</v>
          </cell>
          <cell r="L291">
            <v>1378</v>
          </cell>
          <cell r="M291">
            <v>2630</v>
          </cell>
          <cell r="N291">
            <v>1640</v>
          </cell>
          <cell r="O291">
            <v>1519</v>
          </cell>
          <cell r="P291">
            <v>4290</v>
          </cell>
          <cell r="Q291">
            <v>788</v>
          </cell>
          <cell r="R291">
            <v>872</v>
          </cell>
        </row>
        <row r="292">
          <cell r="K292">
            <v>1469</v>
          </cell>
          <cell r="L292">
            <v>1470</v>
          </cell>
          <cell r="M292">
            <v>2714</v>
          </cell>
          <cell r="N292">
            <v>1708</v>
          </cell>
          <cell r="O292">
            <v>1576</v>
          </cell>
          <cell r="P292">
            <v>4515</v>
          </cell>
          <cell r="Q292">
            <v>902</v>
          </cell>
          <cell r="R292">
            <v>899</v>
          </cell>
        </row>
        <row r="293">
          <cell r="K293">
            <v>1493</v>
          </cell>
          <cell r="L293">
            <v>1540</v>
          </cell>
          <cell r="M293">
            <v>2577</v>
          </cell>
          <cell r="N293">
            <v>1790</v>
          </cell>
          <cell r="O293">
            <v>1255</v>
          </cell>
          <cell r="P293">
            <v>4516</v>
          </cell>
          <cell r="Q293">
            <v>907</v>
          </cell>
          <cell r="R293">
            <v>1033</v>
          </cell>
        </row>
        <row r="294">
          <cell r="K294">
            <v>1455</v>
          </cell>
          <cell r="L294">
            <v>1450</v>
          </cell>
          <cell r="M294">
            <v>2482</v>
          </cell>
          <cell r="N294">
            <v>1694</v>
          </cell>
          <cell r="O294">
            <v>1281</v>
          </cell>
          <cell r="P294">
            <v>4530</v>
          </cell>
          <cell r="Q294">
            <v>998</v>
          </cell>
          <cell r="R294">
            <v>1050</v>
          </cell>
        </row>
        <row r="295">
          <cell r="K295">
            <v>1467</v>
          </cell>
          <cell r="L295">
            <v>1432</v>
          </cell>
          <cell r="M295">
            <v>2537</v>
          </cell>
          <cell r="N295">
            <v>1686</v>
          </cell>
          <cell r="O295">
            <v>1393</v>
          </cell>
          <cell r="P295">
            <v>4114</v>
          </cell>
          <cell r="Q295">
            <v>827</v>
          </cell>
          <cell r="R295">
            <v>750</v>
          </cell>
        </row>
        <row r="296">
          <cell r="K296">
            <v>1482</v>
          </cell>
          <cell r="L296">
            <v>1472</v>
          </cell>
          <cell r="M296">
            <v>2536</v>
          </cell>
          <cell r="N296">
            <v>1690</v>
          </cell>
          <cell r="O296">
            <v>1392</v>
          </cell>
          <cell r="P296">
            <v>4313</v>
          </cell>
          <cell r="Q296">
            <v>827</v>
          </cell>
          <cell r="R296">
            <v>950</v>
          </cell>
        </row>
        <row r="297">
          <cell r="K297">
            <v>1460</v>
          </cell>
          <cell r="L297">
            <v>1443</v>
          </cell>
          <cell r="M297">
            <v>2548</v>
          </cell>
          <cell r="N297">
            <v>1692</v>
          </cell>
          <cell r="O297">
            <v>1404</v>
          </cell>
          <cell r="P297">
            <v>4356</v>
          </cell>
          <cell r="Q297">
            <v>836</v>
          </cell>
          <cell r="R297">
            <v>972</v>
          </cell>
        </row>
        <row r="298">
          <cell r="K298">
            <v>1468</v>
          </cell>
          <cell r="L298">
            <v>1460</v>
          </cell>
          <cell r="M298">
            <v>2550</v>
          </cell>
          <cell r="N298">
            <v>1692</v>
          </cell>
          <cell r="O298">
            <v>1393</v>
          </cell>
          <cell r="P298">
            <v>4407</v>
          </cell>
          <cell r="Q298">
            <v>875</v>
          </cell>
          <cell r="R298">
            <v>982</v>
          </cell>
        </row>
        <row r="299">
          <cell r="K299">
            <v>1457</v>
          </cell>
          <cell r="L299">
            <v>1448</v>
          </cell>
          <cell r="M299">
            <v>2550</v>
          </cell>
          <cell r="N299">
            <v>1690</v>
          </cell>
          <cell r="O299">
            <v>1422</v>
          </cell>
          <cell r="P299">
            <v>4402</v>
          </cell>
          <cell r="Q299">
            <v>836</v>
          </cell>
          <cell r="R299">
            <v>1016</v>
          </cell>
        </row>
        <row r="300">
          <cell r="K300">
            <v>1364</v>
          </cell>
          <cell r="L300">
            <v>1327</v>
          </cell>
          <cell r="M300">
            <v>2357</v>
          </cell>
          <cell r="N300">
            <v>1576</v>
          </cell>
          <cell r="O300">
            <v>1427</v>
          </cell>
          <cell r="P300">
            <v>3705</v>
          </cell>
          <cell r="Q300">
            <v>710</v>
          </cell>
          <cell r="R300">
            <v>638</v>
          </cell>
        </row>
        <row r="301">
          <cell r="K301">
            <v>1465</v>
          </cell>
          <cell r="L301">
            <v>1450</v>
          </cell>
          <cell r="M301">
            <v>2549</v>
          </cell>
          <cell r="N301">
            <v>1694</v>
          </cell>
          <cell r="O301">
            <v>1379</v>
          </cell>
          <cell r="P301">
            <v>4609</v>
          </cell>
          <cell r="Q301">
            <v>1002</v>
          </cell>
          <cell r="R301">
            <v>1058</v>
          </cell>
        </row>
        <row r="302">
          <cell r="K302">
            <v>1512</v>
          </cell>
          <cell r="L302">
            <v>1486</v>
          </cell>
          <cell r="M302">
            <v>2653</v>
          </cell>
          <cell r="N302">
            <v>1760</v>
          </cell>
          <cell r="O302">
            <v>1396</v>
          </cell>
          <cell r="P302">
            <v>4776</v>
          </cell>
          <cell r="Q302">
            <v>1021</v>
          </cell>
          <cell r="R302">
            <v>1102</v>
          </cell>
        </row>
        <row r="303">
          <cell r="K303">
            <v>1535</v>
          </cell>
          <cell r="L303">
            <v>1506</v>
          </cell>
          <cell r="M303">
            <v>2695</v>
          </cell>
          <cell r="N303">
            <v>1776</v>
          </cell>
          <cell r="O303">
            <v>1426</v>
          </cell>
          <cell r="P303">
            <v>4770</v>
          </cell>
          <cell r="Q303">
            <v>981</v>
          </cell>
          <cell r="R303">
            <v>1095</v>
          </cell>
        </row>
        <row r="304">
          <cell r="K304">
            <v>1365</v>
          </cell>
          <cell r="L304">
            <v>1328</v>
          </cell>
          <cell r="M304">
            <v>2361</v>
          </cell>
          <cell r="N304">
            <v>1584</v>
          </cell>
          <cell r="O304">
            <v>1427</v>
          </cell>
          <cell r="P304">
            <v>3705</v>
          </cell>
          <cell r="Q304">
            <v>707</v>
          </cell>
          <cell r="R304">
            <v>637</v>
          </cell>
        </row>
        <row r="305">
          <cell r="K305">
            <v>1463</v>
          </cell>
          <cell r="L305">
            <v>1435</v>
          </cell>
          <cell r="M305">
            <v>2611</v>
          </cell>
          <cell r="N305">
            <v>1690</v>
          </cell>
          <cell r="O305">
            <v>1620</v>
          </cell>
          <cell r="P305">
            <v>4357</v>
          </cell>
          <cell r="Q305">
            <v>886</v>
          </cell>
          <cell r="R305">
            <v>860</v>
          </cell>
        </row>
        <row r="306">
          <cell r="K306">
            <v>1466</v>
          </cell>
          <cell r="L306">
            <v>1453</v>
          </cell>
          <cell r="M306">
            <v>2601</v>
          </cell>
          <cell r="N306">
            <v>1712</v>
          </cell>
          <cell r="O306">
            <v>1397</v>
          </cell>
          <cell r="P306">
            <v>4424</v>
          </cell>
          <cell r="Q306">
            <v>856</v>
          </cell>
          <cell r="R306">
            <v>967</v>
          </cell>
        </row>
        <row r="307">
          <cell r="K307">
            <v>1470</v>
          </cell>
          <cell r="L307">
            <v>1451</v>
          </cell>
          <cell r="M307">
            <v>2551</v>
          </cell>
          <cell r="N307">
            <v>1700</v>
          </cell>
          <cell r="O307">
            <v>1390</v>
          </cell>
          <cell r="P307">
            <v>4401</v>
          </cell>
          <cell r="Q307">
            <v>870</v>
          </cell>
          <cell r="R307">
            <v>979</v>
          </cell>
        </row>
        <row r="308">
          <cell r="K308">
            <v>1467</v>
          </cell>
          <cell r="L308">
            <v>1454</v>
          </cell>
          <cell r="M308">
            <v>2551</v>
          </cell>
          <cell r="N308">
            <v>1700</v>
          </cell>
          <cell r="O308">
            <v>1388</v>
          </cell>
          <cell r="P308">
            <v>4401</v>
          </cell>
          <cell r="Q308">
            <v>869</v>
          </cell>
          <cell r="R308">
            <v>981</v>
          </cell>
        </row>
        <row r="309">
          <cell r="K309">
            <v>1457</v>
          </cell>
          <cell r="L309">
            <v>1457</v>
          </cell>
          <cell r="M309">
            <v>2546</v>
          </cell>
          <cell r="N309">
            <v>1694</v>
          </cell>
          <cell r="O309">
            <v>1507</v>
          </cell>
          <cell r="P309">
            <v>4466</v>
          </cell>
          <cell r="Q309">
            <v>893</v>
          </cell>
          <cell r="R309">
            <v>1026</v>
          </cell>
        </row>
        <row r="310">
          <cell r="K310">
            <v>1466</v>
          </cell>
          <cell r="L310">
            <v>1453</v>
          </cell>
          <cell r="M310">
            <v>2598</v>
          </cell>
          <cell r="N310">
            <v>1712</v>
          </cell>
          <cell r="O310">
            <v>1405</v>
          </cell>
          <cell r="P310">
            <v>4428</v>
          </cell>
          <cell r="Q310">
            <v>858</v>
          </cell>
          <cell r="R310">
            <v>971</v>
          </cell>
        </row>
        <row r="311">
          <cell r="K311">
            <v>1441</v>
          </cell>
          <cell r="L311">
            <v>1420</v>
          </cell>
          <cell r="M311">
            <v>2421</v>
          </cell>
          <cell r="N311">
            <v>1670</v>
          </cell>
          <cell r="O311">
            <v>1395</v>
          </cell>
          <cell r="P311">
            <v>3972</v>
          </cell>
          <cell r="Q311">
            <v>818</v>
          </cell>
          <cell r="R311">
            <v>733</v>
          </cell>
        </row>
        <row r="312">
          <cell r="K312">
            <v>1440</v>
          </cell>
          <cell r="L312">
            <v>1423</v>
          </cell>
          <cell r="M312">
            <v>2424</v>
          </cell>
          <cell r="N312">
            <v>1672</v>
          </cell>
          <cell r="O312">
            <v>1392</v>
          </cell>
          <cell r="P312">
            <v>4145</v>
          </cell>
          <cell r="Q312">
            <v>816</v>
          </cell>
          <cell r="R312">
            <v>905</v>
          </cell>
        </row>
        <row r="313">
          <cell r="K313">
            <v>1485</v>
          </cell>
          <cell r="L313">
            <v>1460</v>
          </cell>
          <cell r="M313">
            <v>2741</v>
          </cell>
          <cell r="N313">
            <v>1692</v>
          </cell>
          <cell r="O313">
            <v>1842</v>
          </cell>
          <cell r="P313">
            <v>4321</v>
          </cell>
          <cell r="Q313">
            <v>725</v>
          </cell>
          <cell r="R313">
            <v>856</v>
          </cell>
        </row>
        <row r="314">
          <cell r="K314">
            <v>1430</v>
          </cell>
          <cell r="L314">
            <v>1428</v>
          </cell>
          <cell r="M314">
            <v>2428</v>
          </cell>
          <cell r="N314">
            <v>1640</v>
          </cell>
          <cell r="O314">
            <v>1375</v>
          </cell>
          <cell r="P314">
            <v>4028</v>
          </cell>
          <cell r="Q314">
            <v>818</v>
          </cell>
          <cell r="R314">
            <v>782</v>
          </cell>
        </row>
        <row r="315">
          <cell r="K315">
            <v>1441</v>
          </cell>
          <cell r="L315">
            <v>1440</v>
          </cell>
          <cell r="M315">
            <v>2404</v>
          </cell>
          <cell r="N315">
            <v>1662</v>
          </cell>
          <cell r="O315">
            <v>1519</v>
          </cell>
          <cell r="P315">
            <v>4176</v>
          </cell>
          <cell r="Q315">
            <v>811</v>
          </cell>
          <cell r="R315">
            <v>961</v>
          </cell>
        </row>
        <row r="316">
          <cell r="K316">
            <v>1444</v>
          </cell>
          <cell r="L316">
            <v>1425</v>
          </cell>
          <cell r="M316">
            <v>2427</v>
          </cell>
          <cell r="N316">
            <v>1672</v>
          </cell>
          <cell r="O316">
            <v>1388</v>
          </cell>
          <cell r="P316">
            <v>4232</v>
          </cell>
          <cell r="Q316">
            <v>817</v>
          </cell>
          <cell r="R316">
            <v>987</v>
          </cell>
        </row>
        <row r="317">
          <cell r="K317">
            <v>1453</v>
          </cell>
          <cell r="L317">
            <v>1428</v>
          </cell>
          <cell r="M317">
            <v>2653</v>
          </cell>
          <cell r="N317">
            <v>1730</v>
          </cell>
          <cell r="O317">
            <v>1683</v>
          </cell>
          <cell r="P317">
            <v>4361</v>
          </cell>
          <cell r="Q317">
            <v>725</v>
          </cell>
          <cell r="R317">
            <v>983</v>
          </cell>
        </row>
        <row r="318">
          <cell r="K318">
            <v>1455</v>
          </cell>
          <cell r="L318">
            <v>1428</v>
          </cell>
          <cell r="M318">
            <v>2455</v>
          </cell>
          <cell r="N318">
            <v>1750</v>
          </cell>
          <cell r="O318">
            <v>1807</v>
          </cell>
          <cell r="P318">
            <v>4185</v>
          </cell>
          <cell r="Q318">
            <v>771</v>
          </cell>
          <cell r="R318">
            <v>959</v>
          </cell>
        </row>
        <row r="319">
          <cell r="K319">
            <v>1462</v>
          </cell>
          <cell r="L319">
            <v>1429</v>
          </cell>
          <cell r="M319">
            <v>2652</v>
          </cell>
          <cell r="N319">
            <v>1743</v>
          </cell>
          <cell r="O319">
            <v>1828</v>
          </cell>
          <cell r="P319">
            <v>4612</v>
          </cell>
          <cell r="Q319">
            <v>749</v>
          </cell>
          <cell r="R319">
            <v>1211</v>
          </cell>
        </row>
        <row r="320">
          <cell r="K320">
            <v>1375</v>
          </cell>
          <cell r="L320">
            <v>1345</v>
          </cell>
          <cell r="M320">
            <v>2400</v>
          </cell>
          <cell r="N320">
            <v>1620</v>
          </cell>
          <cell r="O320">
            <v>1365</v>
          </cell>
          <cell r="P320">
            <v>3920</v>
          </cell>
          <cell r="Q320">
            <v>745</v>
          </cell>
          <cell r="R320">
            <v>780</v>
          </cell>
        </row>
        <row r="321">
          <cell r="K321">
            <v>1437</v>
          </cell>
          <cell r="L321">
            <v>1414</v>
          </cell>
          <cell r="M321">
            <v>2468</v>
          </cell>
          <cell r="N321">
            <v>1668</v>
          </cell>
          <cell r="O321">
            <v>1376</v>
          </cell>
          <cell r="P321">
            <v>4221</v>
          </cell>
          <cell r="Q321">
            <v>873</v>
          </cell>
          <cell r="R321">
            <v>880</v>
          </cell>
        </row>
        <row r="322">
          <cell r="K322">
            <v>1395</v>
          </cell>
          <cell r="L322">
            <v>1373</v>
          </cell>
          <cell r="M322">
            <v>2402</v>
          </cell>
          <cell r="N322">
            <v>1620</v>
          </cell>
          <cell r="O322">
            <v>1380</v>
          </cell>
          <cell r="P322">
            <v>4139</v>
          </cell>
          <cell r="Q322">
            <v>790</v>
          </cell>
          <cell r="R322">
            <v>942</v>
          </cell>
        </row>
        <row r="323">
          <cell r="K323">
            <v>1491</v>
          </cell>
          <cell r="L323">
            <v>1491</v>
          </cell>
          <cell r="M323">
            <v>2761</v>
          </cell>
          <cell r="N323">
            <v>1768</v>
          </cell>
          <cell r="O323">
            <v>1389</v>
          </cell>
          <cell r="P323">
            <v>4859</v>
          </cell>
          <cell r="Q323">
            <v>966</v>
          </cell>
          <cell r="R323">
            <v>1133</v>
          </cell>
        </row>
        <row r="324">
          <cell r="K324">
            <v>1563</v>
          </cell>
          <cell r="L324">
            <v>1569</v>
          </cell>
          <cell r="M324">
            <v>2880</v>
          </cell>
          <cell r="N324">
            <v>1824</v>
          </cell>
          <cell r="O324">
            <v>1420</v>
          </cell>
          <cell r="P324">
            <v>5087</v>
          </cell>
          <cell r="Q324">
            <v>1033</v>
          </cell>
          <cell r="R324">
            <v>1174</v>
          </cell>
        </row>
        <row r="325">
          <cell r="K325">
            <v>1592</v>
          </cell>
          <cell r="L325">
            <v>1585</v>
          </cell>
          <cell r="M325">
            <v>2887</v>
          </cell>
          <cell r="N325">
            <v>1896</v>
          </cell>
          <cell r="O325">
            <v>1430</v>
          </cell>
          <cell r="P325">
            <v>5243</v>
          </cell>
          <cell r="Q325">
            <v>1181</v>
          </cell>
          <cell r="R325">
            <v>1175</v>
          </cell>
        </row>
        <row r="326">
          <cell r="K326">
            <v>1404</v>
          </cell>
          <cell r="L326">
            <v>1402</v>
          </cell>
          <cell r="M326">
            <v>2577</v>
          </cell>
          <cell r="N326">
            <v>1674</v>
          </cell>
          <cell r="O326">
            <v>1387</v>
          </cell>
          <cell r="P326">
            <v>4262</v>
          </cell>
          <cell r="Q326">
            <v>817</v>
          </cell>
          <cell r="R326">
            <v>868</v>
          </cell>
        </row>
        <row r="327">
          <cell r="K327">
            <v>1406</v>
          </cell>
          <cell r="L327">
            <v>1404</v>
          </cell>
          <cell r="M327">
            <v>2575</v>
          </cell>
          <cell r="N327">
            <v>1668</v>
          </cell>
          <cell r="O327">
            <v>1388</v>
          </cell>
          <cell r="P327">
            <v>4363</v>
          </cell>
          <cell r="Q327">
            <v>824</v>
          </cell>
          <cell r="R327">
            <v>964</v>
          </cell>
        </row>
        <row r="328">
          <cell r="K328">
            <v>1318</v>
          </cell>
          <cell r="L328">
            <v>1300</v>
          </cell>
          <cell r="M328">
            <v>2345</v>
          </cell>
          <cell r="N328">
            <v>1540</v>
          </cell>
          <cell r="O328">
            <v>1360</v>
          </cell>
          <cell r="P328">
            <v>3950</v>
          </cell>
          <cell r="Q328">
            <v>671</v>
          </cell>
          <cell r="R328">
            <v>934</v>
          </cell>
        </row>
        <row r="329">
          <cell r="K329">
            <v>1425</v>
          </cell>
          <cell r="L329">
            <v>1417</v>
          </cell>
          <cell r="M329">
            <v>2516</v>
          </cell>
          <cell r="N329">
            <v>1690</v>
          </cell>
          <cell r="O329">
            <v>1400</v>
          </cell>
          <cell r="P329">
            <v>4045</v>
          </cell>
          <cell r="Q329">
            <v>777</v>
          </cell>
          <cell r="R329">
            <v>752</v>
          </cell>
        </row>
        <row r="330">
          <cell r="K330">
            <v>1424</v>
          </cell>
          <cell r="L330">
            <v>1421</v>
          </cell>
          <cell r="M330">
            <v>2517</v>
          </cell>
          <cell r="N330">
            <v>1690</v>
          </cell>
          <cell r="O330">
            <v>1398</v>
          </cell>
          <cell r="P330">
            <v>4045</v>
          </cell>
          <cell r="Q330">
            <v>776</v>
          </cell>
          <cell r="R330">
            <v>752</v>
          </cell>
        </row>
        <row r="331">
          <cell r="K331">
            <v>1427</v>
          </cell>
          <cell r="L331">
            <v>1420</v>
          </cell>
          <cell r="M331">
            <v>2511</v>
          </cell>
          <cell r="N331">
            <v>1692</v>
          </cell>
          <cell r="O331">
            <v>1390</v>
          </cell>
          <cell r="P331">
            <v>4241</v>
          </cell>
          <cell r="Q331">
            <v>782</v>
          </cell>
          <cell r="R331">
            <v>947</v>
          </cell>
        </row>
        <row r="332">
          <cell r="K332">
            <v>1425</v>
          </cell>
          <cell r="L332">
            <v>1421</v>
          </cell>
          <cell r="M332">
            <v>2517</v>
          </cell>
          <cell r="N332">
            <v>1688</v>
          </cell>
          <cell r="O332">
            <v>1509</v>
          </cell>
          <cell r="P332">
            <v>4273</v>
          </cell>
          <cell r="Q332">
            <v>777</v>
          </cell>
          <cell r="R332">
            <v>979</v>
          </cell>
        </row>
        <row r="333">
          <cell r="K333">
            <v>1427</v>
          </cell>
          <cell r="L333">
            <v>1429</v>
          </cell>
          <cell r="M333">
            <v>2604</v>
          </cell>
          <cell r="N333">
            <v>1680</v>
          </cell>
          <cell r="O333">
            <v>1320</v>
          </cell>
          <cell r="P333">
            <v>4492</v>
          </cell>
          <cell r="Q333">
            <v>933</v>
          </cell>
          <cell r="R333">
            <v>955</v>
          </cell>
        </row>
        <row r="334">
          <cell r="K334">
            <v>1385</v>
          </cell>
          <cell r="L334">
            <v>1381</v>
          </cell>
          <cell r="M334">
            <v>2443</v>
          </cell>
          <cell r="N334">
            <v>1600</v>
          </cell>
          <cell r="O334">
            <v>1418</v>
          </cell>
          <cell r="P334">
            <v>3728</v>
          </cell>
          <cell r="Q334">
            <v>718</v>
          </cell>
          <cell r="R334">
            <v>566</v>
          </cell>
        </row>
        <row r="335">
          <cell r="K335">
            <v>1386</v>
          </cell>
          <cell r="L335">
            <v>1378</v>
          </cell>
          <cell r="M335">
            <v>2438</v>
          </cell>
          <cell r="N335">
            <v>1604</v>
          </cell>
          <cell r="O335">
            <v>1420</v>
          </cell>
          <cell r="P335">
            <v>3728</v>
          </cell>
          <cell r="Q335">
            <v>724</v>
          </cell>
          <cell r="R335">
            <v>566</v>
          </cell>
        </row>
        <row r="336">
          <cell r="K336">
            <v>1491</v>
          </cell>
          <cell r="L336">
            <v>1492</v>
          </cell>
          <cell r="M336">
            <v>2331</v>
          </cell>
          <cell r="N336">
            <v>1782</v>
          </cell>
          <cell r="O336">
            <v>1705</v>
          </cell>
          <cell r="P336">
            <v>4041</v>
          </cell>
          <cell r="Q336">
            <v>719</v>
          </cell>
          <cell r="R336">
            <v>991</v>
          </cell>
        </row>
        <row r="337">
          <cell r="K337">
            <v>1390</v>
          </cell>
          <cell r="L337">
            <v>1402</v>
          </cell>
          <cell r="M337">
            <v>2522</v>
          </cell>
          <cell r="N337">
            <v>1668</v>
          </cell>
          <cell r="O337">
            <v>1390</v>
          </cell>
          <cell r="P337">
            <v>3996</v>
          </cell>
          <cell r="Q337">
            <v>757</v>
          </cell>
          <cell r="R337">
            <v>717</v>
          </cell>
        </row>
        <row r="338">
          <cell r="K338">
            <v>1395</v>
          </cell>
          <cell r="L338">
            <v>1405</v>
          </cell>
          <cell r="M338">
            <v>2520</v>
          </cell>
          <cell r="N338">
            <v>1666</v>
          </cell>
          <cell r="O338">
            <v>1400</v>
          </cell>
          <cell r="P338">
            <v>3998</v>
          </cell>
          <cell r="Q338">
            <v>759</v>
          </cell>
          <cell r="R338">
            <v>719</v>
          </cell>
        </row>
        <row r="339">
          <cell r="K339">
            <v>1400</v>
          </cell>
          <cell r="L339">
            <v>1405</v>
          </cell>
          <cell r="M339">
            <v>2525</v>
          </cell>
          <cell r="N339">
            <v>1640</v>
          </cell>
          <cell r="O339">
            <v>1375</v>
          </cell>
          <cell r="P339">
            <v>4000</v>
          </cell>
          <cell r="Q339">
            <v>740</v>
          </cell>
          <cell r="R339">
            <v>740</v>
          </cell>
        </row>
        <row r="340">
          <cell r="K340">
            <v>1400</v>
          </cell>
          <cell r="L340">
            <v>1405</v>
          </cell>
          <cell r="M340">
            <v>2525</v>
          </cell>
          <cell r="N340">
            <v>1640</v>
          </cell>
          <cell r="O340">
            <v>1375</v>
          </cell>
          <cell r="P340">
            <v>4030</v>
          </cell>
          <cell r="Q340">
            <v>770</v>
          </cell>
          <cell r="R340">
            <v>740</v>
          </cell>
        </row>
        <row r="341">
          <cell r="K341">
            <v>1397</v>
          </cell>
          <cell r="L341">
            <v>1400</v>
          </cell>
          <cell r="M341">
            <v>2524</v>
          </cell>
          <cell r="N341">
            <v>1680</v>
          </cell>
          <cell r="O341">
            <v>1391</v>
          </cell>
          <cell r="P341">
            <v>4224</v>
          </cell>
          <cell r="Q341">
            <v>760</v>
          </cell>
          <cell r="R341">
            <v>939</v>
          </cell>
        </row>
        <row r="342">
          <cell r="K342">
            <v>1394</v>
          </cell>
          <cell r="L342">
            <v>1402</v>
          </cell>
          <cell r="M342">
            <v>2519</v>
          </cell>
          <cell r="N342">
            <v>1666</v>
          </cell>
          <cell r="O342">
            <v>1468</v>
          </cell>
          <cell r="P342">
            <v>4257</v>
          </cell>
          <cell r="Q342">
            <v>790</v>
          </cell>
          <cell r="R342">
            <v>949</v>
          </cell>
        </row>
        <row r="343">
          <cell r="K343">
            <v>1400</v>
          </cell>
          <cell r="L343">
            <v>1405</v>
          </cell>
          <cell r="M343">
            <v>2525</v>
          </cell>
          <cell r="N343">
            <v>1640</v>
          </cell>
          <cell r="O343">
            <v>1340</v>
          </cell>
          <cell r="P343">
            <v>4245</v>
          </cell>
          <cell r="Q343">
            <v>770</v>
          </cell>
          <cell r="R343">
            <v>950</v>
          </cell>
        </row>
        <row r="344">
          <cell r="K344">
            <v>1445</v>
          </cell>
          <cell r="L344">
            <v>1470</v>
          </cell>
          <cell r="M344">
            <v>2675</v>
          </cell>
          <cell r="N344">
            <v>1725</v>
          </cell>
          <cell r="O344">
            <v>1365</v>
          </cell>
          <cell r="P344">
            <v>4710</v>
          </cell>
          <cell r="Q344">
            <v>940</v>
          </cell>
          <cell r="R344">
            <v>1100</v>
          </cell>
        </row>
        <row r="345">
          <cell r="K345">
            <v>1437</v>
          </cell>
          <cell r="L345">
            <v>1460</v>
          </cell>
          <cell r="M345">
            <v>2738</v>
          </cell>
          <cell r="N345">
            <v>1776</v>
          </cell>
          <cell r="O345">
            <v>1432</v>
          </cell>
          <cell r="P345">
            <v>4681</v>
          </cell>
          <cell r="Q345">
            <v>878</v>
          </cell>
          <cell r="R345">
            <v>1065</v>
          </cell>
        </row>
        <row r="346">
          <cell r="K346">
            <v>1441</v>
          </cell>
          <cell r="L346">
            <v>1451</v>
          </cell>
          <cell r="M346">
            <v>2732</v>
          </cell>
          <cell r="N346">
            <v>1778</v>
          </cell>
          <cell r="O346">
            <v>1472</v>
          </cell>
          <cell r="P346">
            <v>4726</v>
          </cell>
          <cell r="Q346">
            <v>883</v>
          </cell>
          <cell r="R346">
            <v>1110</v>
          </cell>
        </row>
        <row r="347">
          <cell r="K347">
            <v>1512</v>
          </cell>
          <cell r="L347">
            <v>1519</v>
          </cell>
          <cell r="M347">
            <v>2735</v>
          </cell>
          <cell r="N347">
            <v>1796</v>
          </cell>
          <cell r="O347">
            <v>1448</v>
          </cell>
          <cell r="P347">
            <v>4779</v>
          </cell>
          <cell r="Q347">
            <v>918</v>
          </cell>
          <cell r="R347">
            <v>1125</v>
          </cell>
        </row>
        <row r="348">
          <cell r="K348">
            <v>1508</v>
          </cell>
          <cell r="L348">
            <v>1508</v>
          </cell>
          <cell r="M348">
            <v>2733</v>
          </cell>
          <cell r="N348">
            <v>1788</v>
          </cell>
          <cell r="O348">
            <v>1548</v>
          </cell>
          <cell r="P348">
            <v>4809</v>
          </cell>
          <cell r="Q348">
            <v>925</v>
          </cell>
          <cell r="R348">
            <v>1151</v>
          </cell>
        </row>
        <row r="349">
          <cell r="K349">
            <v>1420</v>
          </cell>
          <cell r="L349">
            <v>1412</v>
          </cell>
          <cell r="M349">
            <v>2668</v>
          </cell>
          <cell r="N349">
            <v>1728</v>
          </cell>
          <cell r="O349">
            <v>1425</v>
          </cell>
          <cell r="P349">
            <v>4650</v>
          </cell>
          <cell r="Q349">
            <v>855</v>
          </cell>
          <cell r="R349">
            <v>1127</v>
          </cell>
        </row>
        <row r="350">
          <cell r="K350">
            <v>1435</v>
          </cell>
          <cell r="L350">
            <v>1410</v>
          </cell>
          <cell r="M350">
            <v>2665</v>
          </cell>
          <cell r="N350">
            <v>1735</v>
          </cell>
          <cell r="O350">
            <v>1425</v>
          </cell>
          <cell r="P350">
            <v>4625</v>
          </cell>
          <cell r="Q350">
            <v>815</v>
          </cell>
          <cell r="R350">
            <v>1140</v>
          </cell>
        </row>
        <row r="351">
          <cell r="K351">
            <v>1445</v>
          </cell>
          <cell r="L351">
            <v>1470</v>
          </cell>
          <cell r="M351">
            <v>2690</v>
          </cell>
          <cell r="N351">
            <v>1740</v>
          </cell>
          <cell r="O351">
            <v>1410</v>
          </cell>
          <cell r="P351">
            <v>4825</v>
          </cell>
          <cell r="Q351">
            <v>940</v>
          </cell>
          <cell r="R351">
            <v>1190</v>
          </cell>
        </row>
        <row r="352">
          <cell r="K352">
            <v>1450</v>
          </cell>
          <cell r="L352">
            <v>1452</v>
          </cell>
          <cell r="M352">
            <v>2683</v>
          </cell>
          <cell r="N352">
            <v>1724</v>
          </cell>
          <cell r="O352">
            <v>1383</v>
          </cell>
          <cell r="P352">
            <v>4834</v>
          </cell>
          <cell r="Q352">
            <v>894</v>
          </cell>
          <cell r="R352">
            <v>1257</v>
          </cell>
        </row>
        <row r="353">
          <cell r="K353">
            <v>1576</v>
          </cell>
          <cell r="L353">
            <v>1614</v>
          </cell>
          <cell r="M353">
            <v>2841</v>
          </cell>
          <cell r="N353">
            <v>1840</v>
          </cell>
          <cell r="O353">
            <v>1776</v>
          </cell>
          <cell r="P353">
            <v>4664</v>
          </cell>
          <cell r="Q353">
            <v>910</v>
          </cell>
          <cell r="R353">
            <v>912</v>
          </cell>
        </row>
        <row r="354">
          <cell r="K354">
            <v>1387</v>
          </cell>
          <cell r="L354">
            <v>1383</v>
          </cell>
          <cell r="M354">
            <v>2440</v>
          </cell>
          <cell r="N354">
            <v>1599</v>
          </cell>
          <cell r="O354">
            <v>1352</v>
          </cell>
          <cell r="P354">
            <v>3922</v>
          </cell>
          <cell r="Q354">
            <v>780</v>
          </cell>
          <cell r="R354">
            <v>702</v>
          </cell>
        </row>
        <row r="355">
          <cell r="K355">
            <v>1478</v>
          </cell>
          <cell r="L355">
            <v>1469</v>
          </cell>
          <cell r="M355">
            <v>2640</v>
          </cell>
          <cell r="N355">
            <v>1701</v>
          </cell>
          <cell r="O355">
            <v>1426</v>
          </cell>
          <cell r="P355">
            <v>4467</v>
          </cell>
          <cell r="Q355">
            <v>845</v>
          </cell>
          <cell r="R355">
            <v>983</v>
          </cell>
        </row>
        <row r="356">
          <cell r="K356">
            <v>1478</v>
          </cell>
          <cell r="L356">
            <v>1469</v>
          </cell>
          <cell r="M356">
            <v>2640</v>
          </cell>
          <cell r="N356">
            <v>1701</v>
          </cell>
          <cell r="O356">
            <v>1426</v>
          </cell>
          <cell r="P356">
            <v>4467</v>
          </cell>
          <cell r="Q356">
            <v>845</v>
          </cell>
          <cell r="R356">
            <v>983</v>
          </cell>
        </row>
        <row r="357">
          <cell r="K357">
            <v>1427</v>
          </cell>
          <cell r="L357">
            <v>1422</v>
          </cell>
          <cell r="M357">
            <v>2600</v>
          </cell>
          <cell r="N357">
            <v>1700</v>
          </cell>
          <cell r="O357">
            <v>1392</v>
          </cell>
          <cell r="P357">
            <v>4342</v>
          </cell>
          <cell r="Q357">
            <v>850</v>
          </cell>
          <cell r="R357">
            <v>891</v>
          </cell>
        </row>
        <row r="358">
          <cell r="K358">
            <v>1428</v>
          </cell>
          <cell r="L358">
            <v>1422</v>
          </cell>
          <cell r="M358">
            <v>2600</v>
          </cell>
          <cell r="N358">
            <v>1702</v>
          </cell>
          <cell r="O358">
            <v>1395</v>
          </cell>
          <cell r="P358">
            <v>4422</v>
          </cell>
          <cell r="Q358">
            <v>851</v>
          </cell>
          <cell r="R358">
            <v>971</v>
          </cell>
        </row>
        <row r="359">
          <cell r="K359">
            <v>1481</v>
          </cell>
          <cell r="L359">
            <v>1452</v>
          </cell>
          <cell r="M359">
            <v>2640</v>
          </cell>
          <cell r="N359">
            <v>1712</v>
          </cell>
          <cell r="O359">
            <v>1495</v>
          </cell>
          <cell r="P359">
            <v>4484</v>
          </cell>
          <cell r="Q359">
            <v>849</v>
          </cell>
          <cell r="R359">
            <v>994</v>
          </cell>
        </row>
        <row r="360">
          <cell r="K360">
            <v>1290</v>
          </cell>
          <cell r="L360">
            <v>1240</v>
          </cell>
          <cell r="M360">
            <v>2420</v>
          </cell>
          <cell r="N360">
            <v>1540</v>
          </cell>
          <cell r="O360">
            <v>1405</v>
          </cell>
          <cell r="P360">
            <v>3615</v>
          </cell>
          <cell r="Q360">
            <v>605</v>
          </cell>
          <cell r="R360">
            <v>585</v>
          </cell>
        </row>
        <row r="361">
          <cell r="K361">
            <v>1383</v>
          </cell>
          <cell r="L361">
            <v>1304</v>
          </cell>
          <cell r="M361">
            <v>2383</v>
          </cell>
          <cell r="N361">
            <v>1594</v>
          </cell>
          <cell r="O361">
            <v>1363</v>
          </cell>
          <cell r="P361">
            <v>3559</v>
          </cell>
          <cell r="Q361">
            <v>661</v>
          </cell>
          <cell r="R361">
            <v>515</v>
          </cell>
        </row>
        <row r="362">
          <cell r="K362">
            <v>1362</v>
          </cell>
          <cell r="L362">
            <v>1316</v>
          </cell>
          <cell r="M362">
            <v>2419</v>
          </cell>
          <cell r="N362">
            <v>1578</v>
          </cell>
          <cell r="O362">
            <v>1366</v>
          </cell>
          <cell r="P362">
            <v>3702</v>
          </cell>
          <cell r="Q362">
            <v>684</v>
          </cell>
          <cell r="R362">
            <v>599</v>
          </cell>
        </row>
        <row r="363">
          <cell r="K363">
            <v>1455</v>
          </cell>
          <cell r="L363">
            <v>1429</v>
          </cell>
          <cell r="M363">
            <v>2575</v>
          </cell>
          <cell r="N363">
            <v>1700</v>
          </cell>
          <cell r="O363">
            <v>1382</v>
          </cell>
          <cell r="P363">
            <v>4000</v>
          </cell>
          <cell r="Q363">
            <v>788</v>
          </cell>
          <cell r="R363">
            <v>637</v>
          </cell>
        </row>
        <row r="364">
          <cell r="K364">
            <v>1448</v>
          </cell>
          <cell r="L364">
            <v>1448</v>
          </cell>
          <cell r="M364">
            <v>2671</v>
          </cell>
          <cell r="N364">
            <v>1708</v>
          </cell>
          <cell r="O364">
            <v>1451</v>
          </cell>
          <cell r="P364">
            <v>4398</v>
          </cell>
          <cell r="Q364">
            <v>821</v>
          </cell>
          <cell r="R364">
            <v>907</v>
          </cell>
        </row>
        <row r="365">
          <cell r="K365">
            <v>1439</v>
          </cell>
          <cell r="L365">
            <v>1450</v>
          </cell>
          <cell r="M365">
            <v>2671</v>
          </cell>
          <cell r="N365">
            <v>1714</v>
          </cell>
          <cell r="O365">
            <v>1410</v>
          </cell>
          <cell r="P365">
            <v>4403</v>
          </cell>
          <cell r="Q365">
            <v>818</v>
          </cell>
          <cell r="R365">
            <v>914</v>
          </cell>
        </row>
        <row r="366">
          <cell r="K366">
            <v>1481</v>
          </cell>
          <cell r="L366">
            <v>1452</v>
          </cell>
          <cell r="M366">
            <v>2702</v>
          </cell>
          <cell r="N366">
            <v>1772</v>
          </cell>
          <cell r="O366">
            <v>1421</v>
          </cell>
          <cell r="P366">
            <v>4546</v>
          </cell>
          <cell r="Q366">
            <v>917</v>
          </cell>
          <cell r="R366">
            <v>926</v>
          </cell>
        </row>
        <row r="367">
          <cell r="K367">
            <v>1420</v>
          </cell>
          <cell r="L367">
            <v>1360</v>
          </cell>
          <cell r="M367">
            <v>2745</v>
          </cell>
          <cell r="N367">
            <v>1705</v>
          </cell>
          <cell r="O367">
            <v>1470</v>
          </cell>
          <cell r="P367">
            <v>4495</v>
          </cell>
          <cell r="Q367">
            <v>720</v>
          </cell>
          <cell r="R367">
            <v>1030</v>
          </cell>
        </row>
        <row r="368">
          <cell r="K368">
            <v>1460</v>
          </cell>
          <cell r="L368">
            <v>1430</v>
          </cell>
          <cell r="M368">
            <v>2750</v>
          </cell>
          <cell r="N368">
            <v>1725</v>
          </cell>
          <cell r="O368">
            <v>1455</v>
          </cell>
          <cell r="P368">
            <v>4585</v>
          </cell>
          <cell r="Q368">
            <v>775</v>
          </cell>
          <cell r="R368">
            <v>1060</v>
          </cell>
        </row>
        <row r="369">
          <cell r="K369">
            <v>1490</v>
          </cell>
          <cell r="L369">
            <v>1425</v>
          </cell>
          <cell r="M369">
            <v>2805</v>
          </cell>
          <cell r="N369">
            <v>1775</v>
          </cell>
          <cell r="O369">
            <v>1440</v>
          </cell>
          <cell r="P369">
            <v>4735</v>
          </cell>
          <cell r="Q369">
            <v>770</v>
          </cell>
          <cell r="R369">
            <v>1160</v>
          </cell>
        </row>
        <row r="370">
          <cell r="K370">
            <v>1526</v>
          </cell>
          <cell r="L370">
            <v>1500</v>
          </cell>
          <cell r="M370">
            <v>2808</v>
          </cell>
          <cell r="N370">
            <v>1808</v>
          </cell>
          <cell r="O370">
            <v>1426</v>
          </cell>
          <cell r="P370">
            <v>4727</v>
          </cell>
          <cell r="Q370">
            <v>930</v>
          </cell>
          <cell r="R370">
            <v>989</v>
          </cell>
        </row>
        <row r="371">
          <cell r="K371">
            <v>1457</v>
          </cell>
          <cell r="L371">
            <v>1432</v>
          </cell>
          <cell r="M371">
            <v>2578</v>
          </cell>
          <cell r="N371">
            <v>1696</v>
          </cell>
          <cell r="O371">
            <v>1470</v>
          </cell>
          <cell r="P371">
            <v>4342</v>
          </cell>
          <cell r="Q371">
            <v>818</v>
          </cell>
          <cell r="R371">
            <v>946</v>
          </cell>
        </row>
        <row r="372">
          <cell r="K372">
            <v>1461</v>
          </cell>
          <cell r="L372">
            <v>1433</v>
          </cell>
          <cell r="M372">
            <v>2534</v>
          </cell>
          <cell r="N372">
            <v>1698</v>
          </cell>
          <cell r="O372">
            <v>1366</v>
          </cell>
          <cell r="P372">
            <v>4149</v>
          </cell>
          <cell r="Q372">
            <v>790</v>
          </cell>
          <cell r="R372">
            <v>825</v>
          </cell>
        </row>
        <row r="373">
          <cell r="K373">
            <v>1460</v>
          </cell>
          <cell r="L373">
            <v>1430</v>
          </cell>
          <cell r="M373">
            <v>2577</v>
          </cell>
          <cell r="N373">
            <v>1688</v>
          </cell>
          <cell r="O373">
            <v>1395</v>
          </cell>
          <cell r="P373">
            <v>4233</v>
          </cell>
          <cell r="Q373">
            <v>788</v>
          </cell>
          <cell r="R373">
            <v>869</v>
          </cell>
        </row>
        <row r="374">
          <cell r="K374">
            <v>1515</v>
          </cell>
          <cell r="L374">
            <v>1524</v>
          </cell>
          <cell r="M374">
            <v>2696</v>
          </cell>
          <cell r="N374">
            <v>1802</v>
          </cell>
          <cell r="O374">
            <v>1355</v>
          </cell>
          <cell r="P374">
            <v>4611</v>
          </cell>
          <cell r="Q374">
            <v>983</v>
          </cell>
          <cell r="R374">
            <v>931</v>
          </cell>
        </row>
        <row r="375">
          <cell r="K375">
            <v>1500</v>
          </cell>
          <cell r="L375">
            <v>1470</v>
          </cell>
          <cell r="M375">
            <v>2702</v>
          </cell>
          <cell r="N375">
            <v>1764</v>
          </cell>
          <cell r="O375">
            <v>1507</v>
          </cell>
          <cell r="P375">
            <v>4711</v>
          </cell>
          <cell r="Q375">
            <v>921</v>
          </cell>
          <cell r="R375">
            <v>1088</v>
          </cell>
        </row>
        <row r="376">
          <cell r="K376">
            <v>1552</v>
          </cell>
          <cell r="L376">
            <v>1532</v>
          </cell>
          <cell r="M376">
            <v>2824</v>
          </cell>
          <cell r="N376">
            <v>1850</v>
          </cell>
          <cell r="O376">
            <v>1417</v>
          </cell>
          <cell r="P376">
            <v>5055</v>
          </cell>
          <cell r="Q376">
            <v>1162</v>
          </cell>
          <cell r="R376">
            <v>1069</v>
          </cell>
        </row>
        <row r="377">
          <cell r="K377">
            <v>1494</v>
          </cell>
          <cell r="L377">
            <v>1448</v>
          </cell>
          <cell r="M377">
            <v>2663</v>
          </cell>
          <cell r="N377">
            <v>1752</v>
          </cell>
          <cell r="O377">
            <v>1383</v>
          </cell>
          <cell r="P377">
            <v>4784</v>
          </cell>
          <cell r="Q377">
            <v>1039</v>
          </cell>
          <cell r="R377">
            <v>1082</v>
          </cell>
        </row>
        <row r="378">
          <cell r="K378">
            <v>1505</v>
          </cell>
          <cell r="L378">
            <v>1563</v>
          </cell>
          <cell r="M378">
            <v>2793</v>
          </cell>
          <cell r="N378">
            <v>1900</v>
          </cell>
          <cell r="O378">
            <v>1681</v>
          </cell>
          <cell r="P378">
            <v>4982</v>
          </cell>
          <cell r="Q378">
            <v>1144</v>
          </cell>
          <cell r="R378">
            <v>1045</v>
          </cell>
        </row>
        <row r="379">
          <cell r="K379">
            <v>1420</v>
          </cell>
          <cell r="L379">
            <v>1370</v>
          </cell>
          <cell r="M379">
            <v>2405</v>
          </cell>
          <cell r="N379">
            <v>1705</v>
          </cell>
          <cell r="O379">
            <v>1260</v>
          </cell>
          <cell r="P379">
            <v>4215</v>
          </cell>
          <cell r="Q379">
            <v>840</v>
          </cell>
          <cell r="R379">
            <v>970</v>
          </cell>
        </row>
        <row r="380">
          <cell r="K380">
            <v>1472</v>
          </cell>
          <cell r="L380">
            <v>1455</v>
          </cell>
          <cell r="M380">
            <v>2393</v>
          </cell>
          <cell r="N380">
            <v>1746</v>
          </cell>
          <cell r="O380">
            <v>1270</v>
          </cell>
          <cell r="P380">
            <v>4315</v>
          </cell>
          <cell r="Q380">
            <v>906</v>
          </cell>
          <cell r="R380">
            <v>1016</v>
          </cell>
        </row>
        <row r="381">
          <cell r="K381">
            <v>1404</v>
          </cell>
          <cell r="L381">
            <v>1437</v>
          </cell>
          <cell r="M381">
            <v>2280</v>
          </cell>
          <cell r="N381">
            <v>1736</v>
          </cell>
          <cell r="O381">
            <v>1283</v>
          </cell>
          <cell r="P381">
            <v>4242</v>
          </cell>
          <cell r="Q381">
            <v>923</v>
          </cell>
          <cell r="R381">
            <v>1039</v>
          </cell>
        </row>
        <row r="382">
          <cell r="K382">
            <v>1465</v>
          </cell>
          <cell r="L382">
            <v>1528</v>
          </cell>
          <cell r="M382">
            <v>2415</v>
          </cell>
          <cell r="N382">
            <v>1778</v>
          </cell>
          <cell r="O382">
            <v>1283</v>
          </cell>
          <cell r="P382">
            <v>4312</v>
          </cell>
          <cell r="Q382">
            <v>1020</v>
          </cell>
          <cell r="R382">
            <v>877</v>
          </cell>
        </row>
        <row r="383">
          <cell r="K383">
            <v>1337</v>
          </cell>
          <cell r="L383">
            <v>1295</v>
          </cell>
          <cell r="M383">
            <v>2408</v>
          </cell>
          <cell r="N383">
            <v>1590</v>
          </cell>
          <cell r="O383">
            <v>1386</v>
          </cell>
          <cell r="P383">
            <v>3592</v>
          </cell>
          <cell r="Q383">
            <v>627</v>
          </cell>
          <cell r="R383">
            <v>557</v>
          </cell>
        </row>
        <row r="384">
          <cell r="K384">
            <v>1335</v>
          </cell>
          <cell r="L384">
            <v>1295</v>
          </cell>
          <cell r="M384">
            <v>2471</v>
          </cell>
          <cell r="N384">
            <v>1586</v>
          </cell>
          <cell r="O384">
            <v>1387</v>
          </cell>
          <cell r="P384">
            <v>3655</v>
          </cell>
          <cell r="Q384">
            <v>625</v>
          </cell>
          <cell r="R384">
            <v>558</v>
          </cell>
        </row>
        <row r="385">
          <cell r="K385">
            <v>1280</v>
          </cell>
          <cell r="L385">
            <v>1240</v>
          </cell>
          <cell r="M385">
            <v>2435</v>
          </cell>
          <cell r="N385">
            <v>1555</v>
          </cell>
          <cell r="O385">
            <v>1390</v>
          </cell>
          <cell r="P385">
            <v>3505</v>
          </cell>
          <cell r="Q385">
            <v>510</v>
          </cell>
          <cell r="R385">
            <v>560</v>
          </cell>
        </row>
        <row r="386">
          <cell r="K386">
            <v>1409</v>
          </cell>
          <cell r="L386">
            <v>1353</v>
          </cell>
          <cell r="M386">
            <v>2487</v>
          </cell>
          <cell r="N386">
            <v>1642</v>
          </cell>
          <cell r="O386">
            <v>1383</v>
          </cell>
          <cell r="P386">
            <v>4069</v>
          </cell>
          <cell r="Q386">
            <v>739</v>
          </cell>
          <cell r="R386">
            <v>843</v>
          </cell>
        </row>
        <row r="387">
          <cell r="K387">
            <v>1415</v>
          </cell>
          <cell r="L387">
            <v>1355</v>
          </cell>
          <cell r="M387">
            <v>2430</v>
          </cell>
          <cell r="N387">
            <v>1680</v>
          </cell>
          <cell r="O387">
            <v>1390</v>
          </cell>
          <cell r="P387">
            <v>4390</v>
          </cell>
          <cell r="Q387">
            <v>940</v>
          </cell>
          <cell r="R387">
            <v>1020</v>
          </cell>
        </row>
        <row r="388">
          <cell r="K388">
            <v>1415</v>
          </cell>
          <cell r="L388">
            <v>1355</v>
          </cell>
          <cell r="M388">
            <v>2430</v>
          </cell>
          <cell r="N388">
            <v>1680</v>
          </cell>
          <cell r="O388">
            <v>1400</v>
          </cell>
          <cell r="P388">
            <v>4480</v>
          </cell>
          <cell r="Q388">
            <v>940</v>
          </cell>
          <cell r="R388">
            <v>1110</v>
          </cell>
        </row>
        <row r="389">
          <cell r="K389">
            <v>1420</v>
          </cell>
          <cell r="L389">
            <v>1410</v>
          </cell>
          <cell r="M389">
            <v>2547</v>
          </cell>
          <cell r="N389">
            <v>1676</v>
          </cell>
          <cell r="O389">
            <v>1419</v>
          </cell>
          <cell r="P389">
            <v>4153</v>
          </cell>
          <cell r="Q389">
            <v>812</v>
          </cell>
          <cell r="R389">
            <v>794</v>
          </cell>
        </row>
        <row r="390">
          <cell r="K390">
            <v>1426</v>
          </cell>
          <cell r="L390">
            <v>1415</v>
          </cell>
          <cell r="M390">
            <v>2547</v>
          </cell>
          <cell r="N390">
            <v>1706</v>
          </cell>
          <cell r="O390">
            <v>1400</v>
          </cell>
          <cell r="P390">
            <v>4153</v>
          </cell>
          <cell r="Q390">
            <v>809</v>
          </cell>
          <cell r="R390">
            <v>797</v>
          </cell>
        </row>
        <row r="391">
          <cell r="K391">
            <v>1424</v>
          </cell>
          <cell r="L391">
            <v>1412</v>
          </cell>
          <cell r="M391">
            <v>2543</v>
          </cell>
          <cell r="N391">
            <v>1700</v>
          </cell>
          <cell r="O391">
            <v>1393</v>
          </cell>
          <cell r="P391">
            <v>4262</v>
          </cell>
          <cell r="Q391">
            <v>809</v>
          </cell>
          <cell r="R391">
            <v>909</v>
          </cell>
        </row>
        <row r="392">
          <cell r="K392">
            <v>1454</v>
          </cell>
          <cell r="L392">
            <v>1402</v>
          </cell>
          <cell r="M392">
            <v>2601</v>
          </cell>
          <cell r="N392">
            <v>1704</v>
          </cell>
          <cell r="O392">
            <v>1391</v>
          </cell>
          <cell r="P392">
            <v>4461</v>
          </cell>
          <cell r="Q392">
            <v>938</v>
          </cell>
          <cell r="R392">
            <v>922</v>
          </cell>
        </row>
        <row r="393">
          <cell r="K393">
            <v>1500</v>
          </cell>
          <cell r="L393">
            <v>1426</v>
          </cell>
          <cell r="M393">
            <v>2728</v>
          </cell>
          <cell r="N393">
            <v>1780</v>
          </cell>
          <cell r="O393">
            <v>1395</v>
          </cell>
          <cell r="P393">
            <v>4654</v>
          </cell>
          <cell r="Q393">
            <v>998</v>
          </cell>
          <cell r="R393">
            <v>928</v>
          </cell>
        </row>
        <row r="394">
          <cell r="K394">
            <v>1358</v>
          </cell>
          <cell r="L394">
            <v>1330</v>
          </cell>
          <cell r="M394">
            <v>2476</v>
          </cell>
          <cell r="N394">
            <v>1626</v>
          </cell>
          <cell r="O394">
            <v>1389</v>
          </cell>
          <cell r="P394">
            <v>3701</v>
          </cell>
          <cell r="Q394">
            <v>665</v>
          </cell>
          <cell r="R394">
            <v>560</v>
          </cell>
        </row>
        <row r="395">
          <cell r="K395">
            <v>1360</v>
          </cell>
          <cell r="L395">
            <v>1330</v>
          </cell>
          <cell r="M395">
            <v>2475</v>
          </cell>
          <cell r="N395">
            <v>1626</v>
          </cell>
          <cell r="O395">
            <v>1387</v>
          </cell>
          <cell r="P395">
            <v>3701</v>
          </cell>
          <cell r="Q395">
            <v>665</v>
          </cell>
          <cell r="R395">
            <v>561</v>
          </cell>
        </row>
        <row r="396">
          <cell r="K396">
            <v>1426</v>
          </cell>
          <cell r="L396">
            <v>1490</v>
          </cell>
          <cell r="M396">
            <v>2570</v>
          </cell>
          <cell r="N396">
            <v>1770</v>
          </cell>
          <cell r="O396">
            <v>1658</v>
          </cell>
          <cell r="P396">
            <v>4244</v>
          </cell>
          <cell r="Q396">
            <v>874</v>
          </cell>
          <cell r="R396">
            <v>800</v>
          </cell>
        </row>
        <row r="397">
          <cell r="K397">
            <v>1495</v>
          </cell>
          <cell r="L397">
            <v>1506</v>
          </cell>
          <cell r="M397">
            <v>2575</v>
          </cell>
          <cell r="N397">
            <v>1792</v>
          </cell>
          <cell r="O397">
            <v>1743</v>
          </cell>
          <cell r="P397">
            <v>4435</v>
          </cell>
          <cell r="Q397">
            <v>986</v>
          </cell>
          <cell r="R397">
            <v>874</v>
          </cell>
        </row>
        <row r="398">
          <cell r="K398">
            <v>1529</v>
          </cell>
          <cell r="L398">
            <v>1544</v>
          </cell>
          <cell r="M398">
            <v>2703</v>
          </cell>
          <cell r="N398">
            <v>1814</v>
          </cell>
          <cell r="O398">
            <v>1701</v>
          </cell>
          <cell r="P398">
            <v>4516</v>
          </cell>
          <cell r="Q398">
            <v>931</v>
          </cell>
          <cell r="R398">
            <v>882</v>
          </cell>
        </row>
        <row r="399">
          <cell r="K399">
            <v>1428</v>
          </cell>
          <cell r="L399">
            <v>1347</v>
          </cell>
          <cell r="M399">
            <v>2442</v>
          </cell>
          <cell r="N399">
            <v>1690</v>
          </cell>
          <cell r="O399">
            <v>1328</v>
          </cell>
          <cell r="P399">
            <v>4364</v>
          </cell>
          <cell r="Q399">
            <v>958</v>
          </cell>
          <cell r="R399">
            <v>964</v>
          </cell>
        </row>
        <row r="400">
          <cell r="K400">
            <v>1483</v>
          </cell>
          <cell r="L400">
            <v>1464</v>
          </cell>
          <cell r="M400">
            <v>2668</v>
          </cell>
          <cell r="N400">
            <v>1762</v>
          </cell>
          <cell r="O400">
            <v>1416</v>
          </cell>
          <cell r="P400">
            <v>4501</v>
          </cell>
          <cell r="Q400">
            <v>915</v>
          </cell>
          <cell r="R400">
            <v>918</v>
          </cell>
        </row>
        <row r="401">
          <cell r="K401">
            <v>1485</v>
          </cell>
          <cell r="L401">
            <v>1464</v>
          </cell>
          <cell r="M401">
            <v>2672</v>
          </cell>
          <cell r="N401">
            <v>1764</v>
          </cell>
          <cell r="O401">
            <v>1514</v>
          </cell>
          <cell r="P401">
            <v>4618</v>
          </cell>
          <cell r="Q401">
            <v>916</v>
          </cell>
          <cell r="R401">
            <v>1030</v>
          </cell>
        </row>
        <row r="402">
          <cell r="K402">
            <v>1443</v>
          </cell>
          <cell r="L402">
            <v>1426</v>
          </cell>
          <cell r="M402">
            <v>2579</v>
          </cell>
          <cell r="N402">
            <v>1722</v>
          </cell>
          <cell r="O402">
            <v>1416</v>
          </cell>
          <cell r="P402">
            <v>4125</v>
          </cell>
          <cell r="Q402">
            <v>845</v>
          </cell>
          <cell r="R402">
            <v>701</v>
          </cell>
        </row>
        <row r="403">
          <cell r="K403">
            <v>1450</v>
          </cell>
          <cell r="L403">
            <v>1420</v>
          </cell>
          <cell r="M403">
            <v>2467</v>
          </cell>
          <cell r="N403">
            <v>1698</v>
          </cell>
          <cell r="O403">
            <v>1364</v>
          </cell>
          <cell r="P403">
            <v>4034</v>
          </cell>
          <cell r="Q403">
            <v>845</v>
          </cell>
          <cell r="R403">
            <v>723</v>
          </cell>
        </row>
        <row r="404">
          <cell r="K404">
            <v>1444</v>
          </cell>
          <cell r="L404">
            <v>1429</v>
          </cell>
          <cell r="M404">
            <v>2581</v>
          </cell>
          <cell r="N404">
            <v>1720</v>
          </cell>
          <cell r="O404">
            <v>1425</v>
          </cell>
          <cell r="P404">
            <v>4393</v>
          </cell>
          <cell r="Q404">
            <v>843</v>
          </cell>
          <cell r="R404">
            <v>969</v>
          </cell>
        </row>
        <row r="405">
          <cell r="K405">
            <v>1447</v>
          </cell>
          <cell r="L405">
            <v>1431</v>
          </cell>
          <cell r="M405">
            <v>2468</v>
          </cell>
          <cell r="N405">
            <v>1722</v>
          </cell>
          <cell r="O405">
            <v>1365</v>
          </cell>
          <cell r="P405">
            <v>3926</v>
          </cell>
          <cell r="Q405">
            <v>842</v>
          </cell>
          <cell r="R405">
            <v>617</v>
          </cell>
        </row>
        <row r="406">
          <cell r="K406">
            <v>1527</v>
          </cell>
          <cell r="L406">
            <v>1484</v>
          </cell>
          <cell r="M406">
            <v>2771</v>
          </cell>
          <cell r="N406">
            <v>1816</v>
          </cell>
          <cell r="O406">
            <v>1429</v>
          </cell>
          <cell r="P406">
            <v>4731</v>
          </cell>
          <cell r="Q406">
            <v>994</v>
          </cell>
          <cell r="R406">
            <v>966</v>
          </cell>
        </row>
        <row r="407">
          <cell r="K407">
            <v>1452</v>
          </cell>
          <cell r="L407">
            <v>1480</v>
          </cell>
          <cell r="M407">
            <v>2580</v>
          </cell>
          <cell r="N407">
            <v>1732</v>
          </cell>
          <cell r="O407">
            <v>1612</v>
          </cell>
          <cell r="P407">
            <v>4128</v>
          </cell>
          <cell r="Q407">
            <v>837</v>
          </cell>
          <cell r="R407">
            <v>711</v>
          </cell>
        </row>
        <row r="408">
          <cell r="K408">
            <v>1537</v>
          </cell>
          <cell r="L408">
            <v>1527</v>
          </cell>
          <cell r="M408">
            <v>2349</v>
          </cell>
          <cell r="N408">
            <v>1834</v>
          </cell>
          <cell r="O408">
            <v>1222</v>
          </cell>
          <cell r="P408">
            <v>3781</v>
          </cell>
          <cell r="Q408">
            <v>896</v>
          </cell>
          <cell r="R408">
            <v>536</v>
          </cell>
        </row>
        <row r="409">
          <cell r="K409">
            <v>1417</v>
          </cell>
          <cell r="L409">
            <v>1368</v>
          </cell>
          <cell r="M409">
            <v>2342</v>
          </cell>
          <cell r="N409">
            <v>1642</v>
          </cell>
          <cell r="O409">
            <v>1433</v>
          </cell>
          <cell r="P409">
            <v>3428</v>
          </cell>
          <cell r="Q409">
            <v>606</v>
          </cell>
          <cell r="R409">
            <v>479</v>
          </cell>
        </row>
        <row r="410">
          <cell r="K410">
            <v>1541</v>
          </cell>
          <cell r="L410">
            <v>1539</v>
          </cell>
          <cell r="M410">
            <v>3062</v>
          </cell>
          <cell r="N410">
            <v>1890</v>
          </cell>
          <cell r="O410">
            <v>1487</v>
          </cell>
          <cell r="P410">
            <v>5271</v>
          </cell>
          <cell r="Q410">
            <v>892</v>
          </cell>
          <cell r="R410">
            <v>1317</v>
          </cell>
        </row>
        <row r="411">
          <cell r="K411">
            <v>1474</v>
          </cell>
          <cell r="L411">
            <v>1471</v>
          </cell>
          <cell r="M411">
            <v>2545</v>
          </cell>
          <cell r="N411">
            <v>1698</v>
          </cell>
          <cell r="O411">
            <v>1382</v>
          </cell>
          <cell r="P411">
            <v>4368</v>
          </cell>
          <cell r="Q411">
            <v>829</v>
          </cell>
          <cell r="R411">
            <v>995</v>
          </cell>
        </row>
        <row r="412">
          <cell r="K412">
            <v>1480</v>
          </cell>
          <cell r="L412">
            <v>1472</v>
          </cell>
          <cell r="M412">
            <v>2622</v>
          </cell>
          <cell r="N412">
            <v>1688</v>
          </cell>
          <cell r="O412">
            <v>1398</v>
          </cell>
          <cell r="P412">
            <v>4480</v>
          </cell>
          <cell r="Q412">
            <v>827</v>
          </cell>
          <cell r="R412">
            <v>1030</v>
          </cell>
        </row>
        <row r="413">
          <cell r="K413">
            <v>1500</v>
          </cell>
          <cell r="L413">
            <v>1460</v>
          </cell>
          <cell r="M413">
            <v>2754</v>
          </cell>
          <cell r="N413">
            <v>1732</v>
          </cell>
          <cell r="O413">
            <v>1387</v>
          </cell>
          <cell r="P413">
            <v>4697</v>
          </cell>
          <cell r="Q413">
            <v>920</v>
          </cell>
          <cell r="R413">
            <v>1022</v>
          </cell>
        </row>
        <row r="414">
          <cell r="K414">
            <v>1476</v>
          </cell>
          <cell r="L414">
            <v>1458</v>
          </cell>
          <cell r="M414">
            <v>2502</v>
          </cell>
          <cell r="N414">
            <v>1692</v>
          </cell>
          <cell r="O414">
            <v>1407</v>
          </cell>
          <cell r="P414">
            <v>3965</v>
          </cell>
          <cell r="Q414">
            <v>795</v>
          </cell>
          <cell r="R414">
            <v>668</v>
          </cell>
        </row>
        <row r="415">
          <cell r="K415">
            <v>1480</v>
          </cell>
          <cell r="L415">
            <v>1461</v>
          </cell>
          <cell r="M415">
            <v>2498</v>
          </cell>
          <cell r="N415">
            <v>1691</v>
          </cell>
          <cell r="O415">
            <v>1413</v>
          </cell>
          <cell r="P415">
            <v>3960</v>
          </cell>
          <cell r="Q415">
            <v>800</v>
          </cell>
          <cell r="R415">
            <v>662</v>
          </cell>
        </row>
        <row r="416">
          <cell r="K416">
            <v>1479</v>
          </cell>
          <cell r="L416">
            <v>1479</v>
          </cell>
          <cell r="M416">
            <v>2718</v>
          </cell>
          <cell r="N416">
            <v>1720</v>
          </cell>
          <cell r="O416">
            <v>1377</v>
          </cell>
          <cell r="P416">
            <v>4637</v>
          </cell>
          <cell r="Q416">
            <v>884</v>
          </cell>
          <cell r="R416">
            <v>1036</v>
          </cell>
        </row>
        <row r="417">
          <cell r="K417">
            <v>1407</v>
          </cell>
          <cell r="L417">
            <v>1440</v>
          </cell>
          <cell r="M417">
            <v>2470</v>
          </cell>
          <cell r="N417">
            <v>1690</v>
          </cell>
          <cell r="O417">
            <v>1420</v>
          </cell>
          <cell r="P417">
            <v>4477</v>
          </cell>
          <cell r="Q417">
            <v>940</v>
          </cell>
          <cell r="R417">
            <v>1067</v>
          </cell>
        </row>
        <row r="418">
          <cell r="K418">
            <v>1519</v>
          </cell>
          <cell r="L418">
            <v>1495</v>
          </cell>
          <cell r="M418">
            <v>2669</v>
          </cell>
          <cell r="N418">
            <v>1760</v>
          </cell>
          <cell r="O418">
            <v>1427</v>
          </cell>
          <cell r="P418">
            <v>4617</v>
          </cell>
          <cell r="Q418">
            <v>969</v>
          </cell>
          <cell r="R418">
            <v>979</v>
          </cell>
        </row>
        <row r="419">
          <cell r="K419">
            <v>1449</v>
          </cell>
          <cell r="L419">
            <v>1440</v>
          </cell>
          <cell r="M419">
            <v>2607</v>
          </cell>
          <cell r="N419">
            <v>1717</v>
          </cell>
          <cell r="O419">
            <v>1441</v>
          </cell>
          <cell r="P419">
            <v>4630</v>
          </cell>
          <cell r="Q419">
            <v>997</v>
          </cell>
          <cell r="R419">
            <v>1026</v>
          </cell>
        </row>
        <row r="420">
          <cell r="K420">
            <v>1535</v>
          </cell>
          <cell r="L420">
            <v>1507</v>
          </cell>
          <cell r="M420">
            <v>2665</v>
          </cell>
          <cell r="N420">
            <v>1782</v>
          </cell>
          <cell r="O420">
            <v>1410</v>
          </cell>
          <cell r="P420">
            <v>4756</v>
          </cell>
          <cell r="Q420">
            <v>1031</v>
          </cell>
          <cell r="R420">
            <v>1061</v>
          </cell>
        </row>
        <row r="421">
          <cell r="K421">
            <v>1521</v>
          </cell>
          <cell r="L421">
            <v>1496</v>
          </cell>
          <cell r="M421">
            <v>2670</v>
          </cell>
          <cell r="N421">
            <v>1760</v>
          </cell>
          <cell r="O421">
            <v>1428</v>
          </cell>
          <cell r="P421">
            <v>4785</v>
          </cell>
          <cell r="Q421">
            <v>1017</v>
          </cell>
          <cell r="R421">
            <v>1098</v>
          </cell>
        </row>
        <row r="422">
          <cell r="K422">
            <v>1449</v>
          </cell>
          <cell r="L422">
            <v>1435</v>
          </cell>
          <cell r="M422">
            <v>2603</v>
          </cell>
          <cell r="N422">
            <v>1720</v>
          </cell>
          <cell r="O422">
            <v>1421</v>
          </cell>
          <cell r="P422">
            <v>4622</v>
          </cell>
          <cell r="Q422">
            <v>998</v>
          </cell>
          <cell r="R422">
            <v>1021</v>
          </cell>
        </row>
        <row r="423">
          <cell r="K423">
            <v>1448</v>
          </cell>
          <cell r="L423">
            <v>1432</v>
          </cell>
          <cell r="M423">
            <v>2601</v>
          </cell>
          <cell r="N423">
            <v>1706</v>
          </cell>
          <cell r="O423">
            <v>1432</v>
          </cell>
          <cell r="P423">
            <v>4628</v>
          </cell>
          <cell r="Q423">
            <v>999</v>
          </cell>
          <cell r="R423">
            <v>1028</v>
          </cell>
        </row>
        <row r="424">
          <cell r="K424">
            <v>1425</v>
          </cell>
          <cell r="L424">
            <v>1443</v>
          </cell>
          <cell r="M424">
            <v>2515</v>
          </cell>
          <cell r="N424">
            <v>1684</v>
          </cell>
          <cell r="O424">
            <v>1432</v>
          </cell>
          <cell r="P424">
            <v>4733</v>
          </cell>
          <cell r="Q424">
            <v>1047</v>
          </cell>
          <cell r="R424">
            <v>1172</v>
          </cell>
        </row>
        <row r="425">
          <cell r="K425">
            <v>1520</v>
          </cell>
          <cell r="L425">
            <v>1507</v>
          </cell>
          <cell r="M425">
            <v>2701</v>
          </cell>
          <cell r="N425">
            <v>1801</v>
          </cell>
          <cell r="O425">
            <v>1454</v>
          </cell>
          <cell r="P425">
            <v>4810</v>
          </cell>
          <cell r="Q425">
            <v>1001</v>
          </cell>
          <cell r="R425">
            <v>1108</v>
          </cell>
        </row>
        <row r="426">
          <cell r="K426">
            <v>1375</v>
          </cell>
          <cell r="L426">
            <v>1399</v>
          </cell>
          <cell r="M426">
            <v>2327</v>
          </cell>
          <cell r="N426">
            <v>1646</v>
          </cell>
          <cell r="O426">
            <v>1454</v>
          </cell>
          <cell r="P426">
            <v>3537</v>
          </cell>
          <cell r="Q426">
            <v>736</v>
          </cell>
          <cell r="R426">
            <v>473</v>
          </cell>
        </row>
        <row r="427">
          <cell r="K427">
            <v>1426</v>
          </cell>
          <cell r="L427">
            <v>1390</v>
          </cell>
          <cell r="M427">
            <v>2445</v>
          </cell>
          <cell r="N427">
            <v>1634</v>
          </cell>
          <cell r="O427">
            <v>1418</v>
          </cell>
          <cell r="P427">
            <v>4137</v>
          </cell>
          <cell r="Q427">
            <v>826</v>
          </cell>
          <cell r="R427">
            <v>866</v>
          </cell>
        </row>
        <row r="428">
          <cell r="K428">
            <v>1422</v>
          </cell>
          <cell r="L428">
            <v>1388</v>
          </cell>
          <cell r="M428">
            <v>2440</v>
          </cell>
          <cell r="N428">
            <v>1643</v>
          </cell>
          <cell r="O428">
            <v>1410</v>
          </cell>
          <cell r="P428">
            <v>4125</v>
          </cell>
          <cell r="Q428">
            <v>808</v>
          </cell>
          <cell r="R428">
            <v>877</v>
          </cell>
        </row>
        <row r="429">
          <cell r="K429">
            <v>1422</v>
          </cell>
          <cell r="L429">
            <v>1386</v>
          </cell>
          <cell r="M429">
            <v>2445</v>
          </cell>
          <cell r="N429">
            <v>1638</v>
          </cell>
          <cell r="O429">
            <v>1423</v>
          </cell>
          <cell r="P429">
            <v>3814</v>
          </cell>
          <cell r="Q429">
            <v>805</v>
          </cell>
          <cell r="R429">
            <v>564</v>
          </cell>
        </row>
        <row r="430">
          <cell r="K430">
            <v>1417</v>
          </cell>
          <cell r="L430">
            <v>1312</v>
          </cell>
          <cell r="M430">
            <v>2452</v>
          </cell>
          <cell r="N430">
            <v>1634</v>
          </cell>
          <cell r="O430">
            <v>1422</v>
          </cell>
          <cell r="P430">
            <v>3808</v>
          </cell>
          <cell r="Q430">
            <v>776</v>
          </cell>
          <cell r="R430">
            <v>580</v>
          </cell>
        </row>
        <row r="431">
          <cell r="K431">
            <v>1420</v>
          </cell>
          <cell r="L431">
            <v>1375</v>
          </cell>
          <cell r="M431">
            <v>2447</v>
          </cell>
          <cell r="N431">
            <v>1634</v>
          </cell>
          <cell r="O431">
            <v>1427</v>
          </cell>
          <cell r="P431">
            <v>3858</v>
          </cell>
          <cell r="Q431">
            <v>795</v>
          </cell>
          <cell r="R431">
            <v>615</v>
          </cell>
        </row>
        <row r="432">
          <cell r="K432">
            <v>1420</v>
          </cell>
          <cell r="L432">
            <v>1375</v>
          </cell>
          <cell r="M432">
            <v>2448</v>
          </cell>
          <cell r="N432">
            <v>1634</v>
          </cell>
          <cell r="O432">
            <v>1455</v>
          </cell>
          <cell r="P432">
            <v>4204</v>
          </cell>
          <cell r="Q432">
            <v>792</v>
          </cell>
          <cell r="R432">
            <v>965</v>
          </cell>
        </row>
        <row r="433">
          <cell r="K433">
            <v>1514</v>
          </cell>
          <cell r="L433">
            <v>1489</v>
          </cell>
          <cell r="M433">
            <v>2513</v>
          </cell>
          <cell r="N433">
            <v>1728</v>
          </cell>
          <cell r="O433">
            <v>1436</v>
          </cell>
          <cell r="P433">
            <v>4512</v>
          </cell>
          <cell r="Q433">
            <v>916</v>
          </cell>
          <cell r="R433">
            <v>1083</v>
          </cell>
        </row>
        <row r="434">
          <cell r="K434">
            <v>1514</v>
          </cell>
          <cell r="L434">
            <v>1525</v>
          </cell>
          <cell r="M434">
            <v>2482</v>
          </cell>
          <cell r="N434">
            <v>1828</v>
          </cell>
          <cell r="O434">
            <v>1828</v>
          </cell>
          <cell r="P434">
            <v>4348</v>
          </cell>
          <cell r="Q434">
            <v>867</v>
          </cell>
          <cell r="R434">
            <v>999</v>
          </cell>
        </row>
        <row r="435">
          <cell r="K435">
            <v>1526</v>
          </cell>
          <cell r="L435">
            <v>1519</v>
          </cell>
          <cell r="M435">
            <v>2631</v>
          </cell>
          <cell r="N435">
            <v>1903</v>
          </cell>
          <cell r="O435">
            <v>1723</v>
          </cell>
          <cell r="P435">
            <v>4724</v>
          </cell>
          <cell r="Q435">
            <v>935</v>
          </cell>
          <cell r="R435">
            <v>1159</v>
          </cell>
        </row>
        <row r="436">
          <cell r="K436">
            <v>1473</v>
          </cell>
          <cell r="L436">
            <v>1455</v>
          </cell>
          <cell r="M436">
            <v>2528</v>
          </cell>
          <cell r="N436">
            <v>1732</v>
          </cell>
          <cell r="O436">
            <v>1580</v>
          </cell>
          <cell r="P436">
            <v>4442</v>
          </cell>
          <cell r="Q436">
            <v>898</v>
          </cell>
          <cell r="R436">
            <v>1016</v>
          </cell>
        </row>
        <row r="437">
          <cell r="K437">
            <v>1460</v>
          </cell>
          <cell r="L437">
            <v>1455</v>
          </cell>
          <cell r="M437">
            <v>2526</v>
          </cell>
          <cell r="N437">
            <v>1686</v>
          </cell>
          <cell r="O437">
            <v>1413</v>
          </cell>
          <cell r="P437">
            <v>4338</v>
          </cell>
          <cell r="Q437">
            <v>873</v>
          </cell>
          <cell r="R437">
            <v>939</v>
          </cell>
        </row>
        <row r="438">
          <cell r="K438">
            <v>1461</v>
          </cell>
          <cell r="L438">
            <v>1447</v>
          </cell>
          <cell r="M438">
            <v>2524</v>
          </cell>
          <cell r="N438">
            <v>1692</v>
          </cell>
          <cell r="O438">
            <v>1412</v>
          </cell>
          <cell r="P438">
            <v>4347</v>
          </cell>
          <cell r="Q438">
            <v>884</v>
          </cell>
          <cell r="R438">
            <v>939</v>
          </cell>
        </row>
        <row r="439">
          <cell r="K439">
            <v>1459</v>
          </cell>
          <cell r="L439">
            <v>1443</v>
          </cell>
          <cell r="M439">
            <v>2586</v>
          </cell>
          <cell r="N439">
            <v>1690</v>
          </cell>
          <cell r="O439">
            <v>1395</v>
          </cell>
          <cell r="P439">
            <v>4511</v>
          </cell>
          <cell r="Q439">
            <v>904</v>
          </cell>
          <cell r="R439">
            <v>1021</v>
          </cell>
        </row>
        <row r="440">
          <cell r="K440">
            <v>1488</v>
          </cell>
          <cell r="L440">
            <v>1477</v>
          </cell>
          <cell r="M440">
            <v>2636</v>
          </cell>
          <cell r="N440">
            <v>1700</v>
          </cell>
          <cell r="O440">
            <v>1410</v>
          </cell>
          <cell r="P440">
            <v>4592</v>
          </cell>
          <cell r="Q440">
            <v>931</v>
          </cell>
          <cell r="R440">
            <v>1025</v>
          </cell>
        </row>
        <row r="441">
          <cell r="K441">
            <v>1458</v>
          </cell>
          <cell r="L441">
            <v>1446</v>
          </cell>
          <cell r="M441">
            <v>2632</v>
          </cell>
          <cell r="N441">
            <v>1696</v>
          </cell>
          <cell r="O441">
            <v>1494</v>
          </cell>
          <cell r="P441">
            <v>4665</v>
          </cell>
          <cell r="Q441">
            <v>932</v>
          </cell>
          <cell r="R441">
            <v>1101</v>
          </cell>
        </row>
        <row r="442">
          <cell r="K442">
            <v>1459</v>
          </cell>
          <cell r="L442">
            <v>1442</v>
          </cell>
          <cell r="M442">
            <v>2584</v>
          </cell>
          <cell r="N442">
            <v>1688</v>
          </cell>
          <cell r="O442">
            <v>1465</v>
          </cell>
          <cell r="P442">
            <v>4600</v>
          </cell>
          <cell r="Q442">
            <v>905</v>
          </cell>
          <cell r="R442">
            <v>1111</v>
          </cell>
        </row>
        <row r="443">
          <cell r="K443">
            <v>1423</v>
          </cell>
          <cell r="L443">
            <v>1425</v>
          </cell>
          <cell r="M443">
            <v>2465</v>
          </cell>
          <cell r="N443">
            <v>1658</v>
          </cell>
          <cell r="O443">
            <v>1485</v>
          </cell>
          <cell r="P443">
            <v>4402</v>
          </cell>
          <cell r="Q443">
            <v>873</v>
          </cell>
          <cell r="R443">
            <v>1064</v>
          </cell>
        </row>
        <row r="444">
          <cell r="K444">
            <v>1335</v>
          </cell>
          <cell r="L444">
            <v>1305</v>
          </cell>
          <cell r="M444">
            <v>2330</v>
          </cell>
          <cell r="N444">
            <v>1494</v>
          </cell>
          <cell r="O444">
            <v>1422</v>
          </cell>
          <cell r="P444">
            <v>3487</v>
          </cell>
          <cell r="Q444">
            <v>679</v>
          </cell>
          <cell r="R444">
            <v>478</v>
          </cell>
        </row>
        <row r="445">
          <cell r="K445">
            <v>1439</v>
          </cell>
          <cell r="L445">
            <v>1435</v>
          </cell>
          <cell r="M445">
            <v>2384</v>
          </cell>
          <cell r="N445">
            <v>1680</v>
          </cell>
          <cell r="O445">
            <v>1401</v>
          </cell>
          <cell r="P445">
            <v>3863</v>
          </cell>
          <cell r="Q445">
            <v>817</v>
          </cell>
          <cell r="R445">
            <v>663</v>
          </cell>
        </row>
        <row r="446">
          <cell r="K446">
            <v>1441</v>
          </cell>
          <cell r="L446">
            <v>1429</v>
          </cell>
          <cell r="M446">
            <v>2482</v>
          </cell>
          <cell r="N446">
            <v>1688</v>
          </cell>
          <cell r="O446">
            <v>1397</v>
          </cell>
          <cell r="P446">
            <v>4186</v>
          </cell>
          <cell r="Q446">
            <v>819</v>
          </cell>
          <cell r="R446">
            <v>884</v>
          </cell>
        </row>
        <row r="447">
          <cell r="K447">
            <v>1440</v>
          </cell>
          <cell r="L447">
            <v>1435</v>
          </cell>
          <cell r="M447">
            <v>2481</v>
          </cell>
          <cell r="N447">
            <v>1696</v>
          </cell>
          <cell r="O447">
            <v>1451</v>
          </cell>
          <cell r="P447">
            <v>4337</v>
          </cell>
          <cell r="Q447">
            <v>819</v>
          </cell>
          <cell r="R447">
            <v>1038</v>
          </cell>
        </row>
        <row r="448">
          <cell r="K448">
            <v>1335</v>
          </cell>
          <cell r="L448">
            <v>1301</v>
          </cell>
          <cell r="M448">
            <v>2246</v>
          </cell>
          <cell r="N448">
            <v>1548</v>
          </cell>
          <cell r="O448">
            <v>1350</v>
          </cell>
          <cell r="P448">
            <v>3552</v>
          </cell>
          <cell r="Q448">
            <v>682</v>
          </cell>
          <cell r="R448">
            <v>624</v>
          </cell>
        </row>
        <row r="449">
          <cell r="K449">
            <v>1357</v>
          </cell>
          <cell r="L449">
            <v>1336</v>
          </cell>
          <cell r="M449">
            <v>2368</v>
          </cell>
          <cell r="N449">
            <v>1592</v>
          </cell>
          <cell r="O449">
            <v>1378</v>
          </cell>
          <cell r="P449">
            <v>3813</v>
          </cell>
          <cell r="Q449">
            <v>770</v>
          </cell>
          <cell r="R449">
            <v>676</v>
          </cell>
        </row>
        <row r="450">
          <cell r="K450">
            <v>1358</v>
          </cell>
          <cell r="L450">
            <v>1339</v>
          </cell>
          <cell r="M450">
            <v>2268</v>
          </cell>
          <cell r="N450">
            <v>1580</v>
          </cell>
          <cell r="O450">
            <v>1347</v>
          </cell>
          <cell r="P450">
            <v>3713</v>
          </cell>
          <cell r="Q450">
            <v>763</v>
          </cell>
          <cell r="R450">
            <v>682</v>
          </cell>
        </row>
        <row r="451">
          <cell r="K451">
            <v>1390</v>
          </cell>
          <cell r="L451">
            <v>1401</v>
          </cell>
          <cell r="M451">
            <v>2480</v>
          </cell>
          <cell r="N451">
            <v>1634</v>
          </cell>
          <cell r="O451">
            <v>1683</v>
          </cell>
          <cell r="P451">
            <v>4037</v>
          </cell>
          <cell r="Q451">
            <v>689</v>
          </cell>
          <cell r="R451">
            <v>800</v>
          </cell>
        </row>
        <row r="452">
          <cell r="K452">
            <v>1422</v>
          </cell>
          <cell r="L452">
            <v>1434</v>
          </cell>
          <cell r="M452">
            <v>2197</v>
          </cell>
          <cell r="N452">
            <v>1693</v>
          </cell>
          <cell r="O452">
            <v>1565</v>
          </cell>
          <cell r="P452">
            <v>3708</v>
          </cell>
          <cell r="Q452">
            <v>778</v>
          </cell>
          <cell r="R452">
            <v>733</v>
          </cell>
        </row>
        <row r="453">
          <cell r="K453">
            <v>1372</v>
          </cell>
          <cell r="L453">
            <v>1359</v>
          </cell>
          <cell r="M453">
            <v>2333</v>
          </cell>
          <cell r="N453">
            <v>1578</v>
          </cell>
          <cell r="O453">
            <v>1702</v>
          </cell>
          <cell r="P453">
            <v>3412</v>
          </cell>
          <cell r="Q453">
            <v>579</v>
          </cell>
          <cell r="R453">
            <v>500</v>
          </cell>
        </row>
        <row r="454">
          <cell r="K454">
            <v>1435</v>
          </cell>
          <cell r="L454">
            <v>1405</v>
          </cell>
          <cell r="M454">
            <v>2605</v>
          </cell>
          <cell r="N454">
            <v>1710</v>
          </cell>
          <cell r="O454">
            <v>1405</v>
          </cell>
          <cell r="P454">
            <v>4395</v>
          </cell>
          <cell r="Q454">
            <v>825</v>
          </cell>
          <cell r="R454">
            <v>965</v>
          </cell>
        </row>
        <row r="455">
          <cell r="K455">
            <v>1505</v>
          </cell>
          <cell r="L455">
            <v>1465</v>
          </cell>
          <cell r="M455">
            <v>2818</v>
          </cell>
          <cell r="N455">
            <v>1812</v>
          </cell>
          <cell r="O455">
            <v>1445</v>
          </cell>
          <cell r="P455">
            <v>4627</v>
          </cell>
          <cell r="Q455">
            <v>822</v>
          </cell>
          <cell r="R455">
            <v>987</v>
          </cell>
        </row>
        <row r="456">
          <cell r="K456">
            <v>1480</v>
          </cell>
          <cell r="L456">
            <v>1470</v>
          </cell>
          <cell r="M456">
            <v>2623</v>
          </cell>
          <cell r="N456">
            <v>1798</v>
          </cell>
          <cell r="O456">
            <v>1758</v>
          </cell>
          <cell r="P456">
            <v>4494</v>
          </cell>
          <cell r="Q456">
            <v>756</v>
          </cell>
          <cell r="R456">
            <v>1115</v>
          </cell>
        </row>
        <row r="457">
          <cell r="K457">
            <v>1475</v>
          </cell>
          <cell r="L457">
            <v>1435</v>
          </cell>
          <cell r="M457">
            <v>2599</v>
          </cell>
          <cell r="N457">
            <v>1712</v>
          </cell>
          <cell r="O457">
            <v>1407</v>
          </cell>
          <cell r="P457">
            <v>4519</v>
          </cell>
          <cell r="Q457">
            <v>886</v>
          </cell>
          <cell r="R457">
            <v>1034</v>
          </cell>
        </row>
        <row r="458">
          <cell r="K458">
            <v>1476</v>
          </cell>
          <cell r="L458">
            <v>1448</v>
          </cell>
          <cell r="M458">
            <v>2626</v>
          </cell>
          <cell r="N458">
            <v>1705</v>
          </cell>
          <cell r="O458">
            <v>1440</v>
          </cell>
          <cell r="P458">
            <v>4490</v>
          </cell>
          <cell r="Q458">
            <v>878</v>
          </cell>
          <cell r="R458">
            <v>986</v>
          </cell>
        </row>
        <row r="459">
          <cell r="K459">
            <v>1483</v>
          </cell>
          <cell r="L459">
            <v>1455</v>
          </cell>
          <cell r="M459">
            <v>2625</v>
          </cell>
          <cell r="N459">
            <v>1710</v>
          </cell>
          <cell r="O459">
            <v>1509</v>
          </cell>
          <cell r="P459">
            <v>4570</v>
          </cell>
          <cell r="Q459">
            <v>878</v>
          </cell>
          <cell r="R459">
            <v>1067</v>
          </cell>
        </row>
        <row r="460">
          <cell r="K460">
            <v>1475</v>
          </cell>
          <cell r="L460">
            <v>1435</v>
          </cell>
          <cell r="M460">
            <v>2592</v>
          </cell>
          <cell r="N460">
            <v>1715</v>
          </cell>
          <cell r="O460">
            <v>1445</v>
          </cell>
          <cell r="P460">
            <v>4610</v>
          </cell>
          <cell r="Q460">
            <v>892</v>
          </cell>
          <cell r="R460">
            <v>1126</v>
          </cell>
        </row>
        <row r="461">
          <cell r="K461">
            <v>1545</v>
          </cell>
          <cell r="L461">
            <v>1520</v>
          </cell>
          <cell r="M461">
            <v>2662</v>
          </cell>
          <cell r="N461">
            <v>1782</v>
          </cell>
          <cell r="O461">
            <v>1437</v>
          </cell>
          <cell r="P461">
            <v>4759</v>
          </cell>
          <cell r="Q461">
            <v>968</v>
          </cell>
          <cell r="R461">
            <v>1130</v>
          </cell>
        </row>
        <row r="462">
          <cell r="K462">
            <v>1549</v>
          </cell>
          <cell r="L462">
            <v>1497</v>
          </cell>
          <cell r="M462">
            <v>2615</v>
          </cell>
          <cell r="N462">
            <v>1770</v>
          </cell>
          <cell r="O462">
            <v>1414</v>
          </cell>
          <cell r="P462">
            <v>4725</v>
          </cell>
          <cell r="Q462">
            <v>973</v>
          </cell>
          <cell r="R462">
            <v>1136</v>
          </cell>
        </row>
        <row r="463">
          <cell r="K463">
            <v>1550</v>
          </cell>
          <cell r="L463">
            <v>1494</v>
          </cell>
          <cell r="M463">
            <v>2611</v>
          </cell>
          <cell r="N463">
            <v>1774</v>
          </cell>
          <cell r="O463">
            <v>1499</v>
          </cell>
          <cell r="P463">
            <v>4793</v>
          </cell>
          <cell r="Q463">
            <v>975</v>
          </cell>
          <cell r="R463">
            <v>1207</v>
          </cell>
        </row>
        <row r="464">
          <cell r="K464">
            <v>1471</v>
          </cell>
          <cell r="L464">
            <v>1447</v>
          </cell>
          <cell r="M464">
            <v>2574</v>
          </cell>
          <cell r="N464">
            <v>1692</v>
          </cell>
          <cell r="O464">
            <v>1411</v>
          </cell>
          <cell r="P464">
            <v>4514</v>
          </cell>
          <cell r="Q464">
            <v>880</v>
          </cell>
          <cell r="R464">
            <v>1059</v>
          </cell>
        </row>
        <row r="465">
          <cell r="K465">
            <v>1474</v>
          </cell>
          <cell r="L465">
            <v>1446</v>
          </cell>
          <cell r="M465">
            <v>2572</v>
          </cell>
          <cell r="N465">
            <v>1696</v>
          </cell>
          <cell r="O465">
            <v>1408</v>
          </cell>
          <cell r="P465">
            <v>4513</v>
          </cell>
          <cell r="Q465">
            <v>878</v>
          </cell>
          <cell r="R465">
            <v>1063</v>
          </cell>
        </row>
        <row r="466">
          <cell r="K466">
            <v>1474</v>
          </cell>
          <cell r="L466">
            <v>1440</v>
          </cell>
          <cell r="M466">
            <v>2574</v>
          </cell>
          <cell r="N466">
            <v>1701</v>
          </cell>
          <cell r="O466">
            <v>1481</v>
          </cell>
          <cell r="P466">
            <v>4539</v>
          </cell>
          <cell r="Q466">
            <v>879</v>
          </cell>
          <cell r="R466">
            <v>1096</v>
          </cell>
        </row>
        <row r="467">
          <cell r="K467">
            <v>1471</v>
          </cell>
          <cell r="L467">
            <v>1445</v>
          </cell>
          <cell r="M467">
            <v>2521</v>
          </cell>
          <cell r="N467">
            <v>1696</v>
          </cell>
          <cell r="O467">
            <v>1369</v>
          </cell>
          <cell r="P467">
            <v>4442</v>
          </cell>
          <cell r="Q467">
            <v>852</v>
          </cell>
          <cell r="R467">
            <v>1069</v>
          </cell>
        </row>
        <row r="468">
          <cell r="K468">
            <v>1430</v>
          </cell>
          <cell r="L468">
            <v>1440</v>
          </cell>
          <cell r="M468">
            <v>2515</v>
          </cell>
          <cell r="N468">
            <v>1672</v>
          </cell>
          <cell r="O468">
            <v>1362</v>
          </cell>
          <cell r="P468">
            <v>4328</v>
          </cell>
          <cell r="Q468">
            <v>829</v>
          </cell>
          <cell r="R468">
            <v>984</v>
          </cell>
        </row>
        <row r="469">
          <cell r="K469">
            <v>1474</v>
          </cell>
          <cell r="L469">
            <v>1430</v>
          </cell>
          <cell r="M469">
            <v>2522</v>
          </cell>
          <cell r="N469">
            <v>1708</v>
          </cell>
          <cell r="O469">
            <v>1296</v>
          </cell>
          <cell r="P469">
            <v>4367</v>
          </cell>
          <cell r="Q469">
            <v>962</v>
          </cell>
          <cell r="R469">
            <v>883</v>
          </cell>
        </row>
        <row r="470">
          <cell r="K470">
            <v>1464</v>
          </cell>
          <cell r="L470">
            <v>1426</v>
          </cell>
          <cell r="M470">
            <v>2525</v>
          </cell>
          <cell r="N470">
            <v>1706</v>
          </cell>
          <cell r="O470">
            <v>1309</v>
          </cell>
          <cell r="P470">
            <v>4415</v>
          </cell>
          <cell r="Q470">
            <v>1006</v>
          </cell>
          <cell r="R470">
            <v>884</v>
          </cell>
        </row>
        <row r="471">
          <cell r="K471">
            <v>1504</v>
          </cell>
          <cell r="L471">
            <v>1483</v>
          </cell>
          <cell r="M471">
            <v>2540</v>
          </cell>
          <cell r="N471">
            <v>1762</v>
          </cell>
          <cell r="O471">
            <v>1317</v>
          </cell>
          <cell r="P471">
            <v>4421</v>
          </cell>
          <cell r="Q471">
            <v>988</v>
          </cell>
          <cell r="R471">
            <v>893</v>
          </cell>
        </row>
        <row r="472">
          <cell r="K472">
            <v>1350</v>
          </cell>
          <cell r="L472">
            <v>1365</v>
          </cell>
          <cell r="M472">
            <v>2495</v>
          </cell>
          <cell r="N472">
            <v>1625</v>
          </cell>
          <cell r="O472">
            <v>1320</v>
          </cell>
          <cell r="P472">
            <v>4330</v>
          </cell>
          <cell r="Q472">
            <v>835</v>
          </cell>
          <cell r="R472">
            <v>1000</v>
          </cell>
        </row>
        <row r="473">
          <cell r="K473">
            <v>1432</v>
          </cell>
          <cell r="L473">
            <v>1402</v>
          </cell>
          <cell r="M473">
            <v>2618</v>
          </cell>
          <cell r="N473">
            <v>1682</v>
          </cell>
          <cell r="O473">
            <v>1323</v>
          </cell>
          <cell r="P473">
            <v>4659</v>
          </cell>
          <cell r="Q473">
            <v>962</v>
          </cell>
          <cell r="R473">
            <v>1079</v>
          </cell>
        </row>
        <row r="474">
          <cell r="K474">
            <v>1426</v>
          </cell>
          <cell r="L474">
            <v>1406</v>
          </cell>
          <cell r="M474">
            <v>2432</v>
          </cell>
          <cell r="N474">
            <v>1658</v>
          </cell>
          <cell r="O474">
            <v>1364</v>
          </cell>
          <cell r="P474">
            <v>3990</v>
          </cell>
          <cell r="Q474">
            <v>802</v>
          </cell>
          <cell r="R474">
            <v>756</v>
          </cell>
        </row>
        <row r="475">
          <cell r="K475">
            <v>1465</v>
          </cell>
          <cell r="L475">
            <v>1454</v>
          </cell>
          <cell r="M475">
            <v>2470</v>
          </cell>
          <cell r="N475">
            <v>1686</v>
          </cell>
          <cell r="O475">
            <v>1382</v>
          </cell>
          <cell r="P475">
            <v>4093</v>
          </cell>
          <cell r="Q475">
            <v>813</v>
          </cell>
          <cell r="R475">
            <v>811</v>
          </cell>
        </row>
        <row r="476">
          <cell r="K476">
            <v>1427</v>
          </cell>
          <cell r="L476">
            <v>1415</v>
          </cell>
          <cell r="M476">
            <v>2430</v>
          </cell>
          <cell r="N476">
            <v>1638</v>
          </cell>
          <cell r="O476">
            <v>1360</v>
          </cell>
          <cell r="P476">
            <v>4137</v>
          </cell>
          <cell r="Q476">
            <v>798</v>
          </cell>
          <cell r="R476">
            <v>909</v>
          </cell>
        </row>
        <row r="477">
          <cell r="K477">
            <v>1428</v>
          </cell>
          <cell r="L477">
            <v>1410</v>
          </cell>
          <cell r="M477">
            <v>2428</v>
          </cell>
          <cell r="N477">
            <v>1656</v>
          </cell>
          <cell r="O477">
            <v>1359</v>
          </cell>
          <cell r="P477">
            <v>4210</v>
          </cell>
          <cell r="Q477">
            <v>810</v>
          </cell>
          <cell r="R477">
            <v>972</v>
          </cell>
        </row>
        <row r="478">
          <cell r="K478">
            <v>1464</v>
          </cell>
          <cell r="L478">
            <v>1452</v>
          </cell>
          <cell r="M478">
            <v>2461</v>
          </cell>
          <cell r="N478">
            <v>1690</v>
          </cell>
          <cell r="O478">
            <v>1374</v>
          </cell>
          <cell r="P478">
            <v>4268</v>
          </cell>
          <cell r="Q478">
            <v>815</v>
          </cell>
          <cell r="R478">
            <v>991</v>
          </cell>
        </row>
        <row r="479">
          <cell r="K479">
            <v>1460</v>
          </cell>
          <cell r="L479">
            <v>1445</v>
          </cell>
          <cell r="M479">
            <v>2467</v>
          </cell>
          <cell r="N479">
            <v>1694</v>
          </cell>
          <cell r="O479">
            <v>1372</v>
          </cell>
          <cell r="P479">
            <v>4293</v>
          </cell>
          <cell r="Q479">
            <v>835</v>
          </cell>
          <cell r="R479">
            <v>992</v>
          </cell>
        </row>
        <row r="480">
          <cell r="K480">
            <v>1468</v>
          </cell>
          <cell r="L480">
            <v>1464</v>
          </cell>
          <cell r="M480">
            <v>2462</v>
          </cell>
          <cell r="N480">
            <v>1696</v>
          </cell>
          <cell r="O480">
            <v>1380</v>
          </cell>
          <cell r="P480">
            <v>4297</v>
          </cell>
          <cell r="Q480">
            <v>836</v>
          </cell>
          <cell r="R480">
            <v>999</v>
          </cell>
        </row>
        <row r="481">
          <cell r="K481">
            <v>1476</v>
          </cell>
          <cell r="L481">
            <v>1470</v>
          </cell>
          <cell r="M481">
            <v>2464</v>
          </cell>
          <cell r="N481">
            <v>1694</v>
          </cell>
          <cell r="O481">
            <v>1490</v>
          </cell>
          <cell r="P481">
            <v>4323</v>
          </cell>
          <cell r="Q481">
            <v>835</v>
          </cell>
          <cell r="R481">
            <v>1025</v>
          </cell>
        </row>
        <row r="482">
          <cell r="K482">
            <v>1480</v>
          </cell>
          <cell r="L482">
            <v>1468</v>
          </cell>
          <cell r="M482">
            <v>2461</v>
          </cell>
          <cell r="N482">
            <v>1692</v>
          </cell>
          <cell r="O482">
            <v>1392</v>
          </cell>
          <cell r="P482">
            <v>4105</v>
          </cell>
          <cell r="Q482">
            <v>833</v>
          </cell>
          <cell r="R482">
            <v>811</v>
          </cell>
        </row>
        <row r="483">
          <cell r="K483">
            <v>1424</v>
          </cell>
          <cell r="L483">
            <v>1414</v>
          </cell>
          <cell r="M483">
            <v>2430</v>
          </cell>
          <cell r="N483">
            <v>1638</v>
          </cell>
          <cell r="O483">
            <v>1372</v>
          </cell>
          <cell r="P483">
            <v>3964</v>
          </cell>
          <cell r="Q483">
            <v>806</v>
          </cell>
          <cell r="R483">
            <v>728</v>
          </cell>
        </row>
        <row r="484">
          <cell r="K484">
            <v>1426</v>
          </cell>
          <cell r="L484">
            <v>1407</v>
          </cell>
          <cell r="M484">
            <v>2430</v>
          </cell>
          <cell r="N484">
            <v>1640</v>
          </cell>
          <cell r="O484">
            <v>1368</v>
          </cell>
          <cell r="P484">
            <v>4136</v>
          </cell>
          <cell r="Q484">
            <v>798</v>
          </cell>
          <cell r="R484">
            <v>908</v>
          </cell>
        </row>
        <row r="485">
          <cell r="K485">
            <v>1320</v>
          </cell>
          <cell r="L485">
            <v>1335</v>
          </cell>
          <cell r="M485">
            <v>2405</v>
          </cell>
          <cell r="N485">
            <v>1610</v>
          </cell>
          <cell r="O485">
            <v>1395</v>
          </cell>
          <cell r="P485">
            <v>4065</v>
          </cell>
          <cell r="Q485">
            <v>710</v>
          </cell>
          <cell r="R485">
            <v>945</v>
          </cell>
        </row>
        <row r="486">
          <cell r="K486">
            <v>1463</v>
          </cell>
          <cell r="L486">
            <v>1451</v>
          </cell>
          <cell r="M486">
            <v>2462</v>
          </cell>
          <cell r="N486">
            <v>1688</v>
          </cell>
          <cell r="O486">
            <v>1387</v>
          </cell>
          <cell r="P486">
            <v>4094</v>
          </cell>
          <cell r="Q486">
            <v>821</v>
          </cell>
          <cell r="R486">
            <v>811</v>
          </cell>
        </row>
        <row r="487">
          <cell r="K487">
            <v>1467</v>
          </cell>
          <cell r="L487">
            <v>1458</v>
          </cell>
          <cell r="M487">
            <v>2467</v>
          </cell>
          <cell r="N487">
            <v>1696</v>
          </cell>
          <cell r="O487">
            <v>1382</v>
          </cell>
          <cell r="P487">
            <v>4272</v>
          </cell>
          <cell r="Q487">
            <v>974</v>
          </cell>
          <cell r="R487">
            <v>831</v>
          </cell>
        </row>
        <row r="488">
          <cell r="K488">
            <v>1468</v>
          </cell>
          <cell r="L488">
            <v>1464</v>
          </cell>
          <cell r="M488">
            <v>2462</v>
          </cell>
          <cell r="N488">
            <v>1696</v>
          </cell>
          <cell r="O488">
            <v>1380</v>
          </cell>
          <cell r="P488">
            <v>4297</v>
          </cell>
          <cell r="Q488">
            <v>836</v>
          </cell>
          <cell r="R488">
            <v>999</v>
          </cell>
        </row>
        <row r="536">
          <cell r="A536">
            <v>220</v>
          </cell>
          <cell r="B536" t="str">
            <v>GOLF</v>
          </cell>
          <cell r="C536" t="str">
            <v>VW</v>
          </cell>
          <cell r="E536" t="str">
            <v>3HB</v>
          </cell>
          <cell r="F536">
            <v>1978</v>
          </cell>
          <cell r="G536">
            <v>45</v>
          </cell>
          <cell r="J536">
            <v>830</v>
          </cell>
          <cell r="K536">
            <v>1390</v>
          </cell>
          <cell r="L536">
            <v>1360</v>
          </cell>
          <cell r="M536">
            <v>2410</v>
          </cell>
          <cell r="N536">
            <v>1615</v>
          </cell>
          <cell r="O536">
            <v>1405</v>
          </cell>
          <cell r="P536">
            <v>3850</v>
          </cell>
          <cell r="Q536">
            <v>785</v>
          </cell>
          <cell r="R536">
            <v>650</v>
          </cell>
        </row>
      </sheetData>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質量一覧"/>
      <sheetName val="集計用"/>
      <sheetName val="5326X"/>
      <sheetName val="5322X"/>
      <sheetName val="53220"/>
      <sheetName val="5323X"/>
      <sheetName val="SC03 Mode"/>
      <sheetName val="ｵｰﾄｸﾞﾗﾌﾃﾞｰﾀ最新版"/>
      <sheetName val="日程"/>
      <sheetName val="VAデータリスト"/>
      <sheetName val="Att-3 開発ｽｹｼﾞｭｰﾙ"/>
      <sheetName val="Japan Data（実）"/>
      <sheetName val="追浜（済）"/>
      <sheetName val="Top22(GER)"/>
      <sheetName val="B実部ﾃｽﾄ別工数"/>
      <sheetName val="チーム案2英語"/>
      <sheetName val="Sheet1"/>
      <sheetName val="採否比較金額"/>
      <sheetName val="評価比較件数"/>
      <sheetName val="AVRV_MSSM"/>
      <sheetName val="ŽÔ—¼Ž¿—Êˆê——"/>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チーム案2英語"/>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ﾓﾃﾞﾙ別(Pass_Dom)86〜"/>
      <sheetName val="検索条件メイク"/>
      <sheetName val="検索条件クラスタイプ"/>
    </sheetNames>
    <sheetDataSet>
      <sheetData sheetId="0" refreshError="1"/>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実部ﾃｽﾄ別工数"/>
      <sheetName val="C実部ﾃｽﾄ別工数"/>
      <sheetName val="車実部ﾃｽﾄ別工数"/>
      <sheetName val="電技開部ﾃｽﾄ別工数"/>
      <sheetName val="工数発生ﾊﾟﾀｰﾝ"/>
      <sheetName val="設計FSS係数"/>
      <sheetName val="data"/>
    </sheetNames>
    <sheetDataSet>
      <sheetData sheetId="0"/>
      <sheetData sheetId="1"/>
      <sheetData sheetId="2"/>
      <sheetData sheetId="3"/>
      <sheetData sheetId="4" refreshError="1"/>
      <sheetData sheetId="5"/>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ﾓﾃﾞﾙ別(Truck)86〜"/>
      <sheetName val="検索条件メイク"/>
      <sheetName val="検索条件クラスタイプ"/>
      <sheetName val="検索条件MAZDA"/>
      <sheetName val="B実部ﾃｽﾄ別工数"/>
    </sheetNames>
    <sheetDataSet>
      <sheetData sheetId="0" refreshError="1"/>
      <sheetData sheetId="1" refreshError="1">
        <row r="50">
          <cell r="A50" t="str">
            <v>MC SEG</v>
          </cell>
          <cell r="B50" t="str">
            <v>SUB SEG</v>
          </cell>
          <cell r="C50" t="str">
            <v>D/I</v>
          </cell>
          <cell r="D50" t="str">
            <v>MAK</v>
          </cell>
          <cell r="E50" t="str">
            <v>MDL</v>
          </cell>
          <cell r="F50" t="str">
            <v>DR</v>
          </cell>
          <cell r="G50" t="str">
            <v>DRT</v>
          </cell>
          <cell r="H50" t="str">
            <v>CYL</v>
          </cell>
          <cell r="I50" t="str">
            <v>Re/Lng</v>
          </cell>
          <cell r="J50" t="str">
            <v>'86</v>
          </cell>
          <cell r="K50" t="str">
            <v>'87</v>
          </cell>
          <cell r="L50" t="str">
            <v>'88</v>
          </cell>
          <cell r="M50" t="str">
            <v>'89</v>
          </cell>
          <cell r="N50" t="str">
            <v>'90</v>
          </cell>
          <cell r="O50" t="str">
            <v>'91</v>
          </cell>
          <cell r="P50" t="str">
            <v>'92</v>
          </cell>
          <cell r="Q50" t="str">
            <v>'93</v>
          </cell>
          <cell r="R50" t="str">
            <v>'94</v>
          </cell>
          <cell r="S50" t="str">
            <v>'95</v>
          </cell>
          <cell r="T50" t="str">
            <v>'96</v>
          </cell>
          <cell r="U50" t="str">
            <v>'97</v>
          </cell>
          <cell r="V50" t="str">
            <v>'98</v>
          </cell>
          <cell r="W50" t="str">
            <v>'99.1</v>
          </cell>
          <cell r="X50" t="str">
            <v>'99.2</v>
          </cell>
          <cell r="Y50" t="str">
            <v>'99.3</v>
          </cell>
        </row>
        <row r="51">
          <cell r="D51" t="str">
            <v>MEB</v>
          </cell>
        </row>
        <row r="67">
          <cell r="A67" t="str">
            <v>MC SEG</v>
          </cell>
          <cell r="B67" t="str">
            <v>SUB SEG</v>
          </cell>
          <cell r="C67" t="str">
            <v>D/I</v>
          </cell>
          <cell r="D67" t="str">
            <v>MAK</v>
          </cell>
          <cell r="E67" t="str">
            <v>MDL</v>
          </cell>
          <cell r="F67" t="str">
            <v>DR</v>
          </cell>
          <cell r="G67" t="str">
            <v>DRT</v>
          </cell>
          <cell r="H67" t="str">
            <v>CYL</v>
          </cell>
          <cell r="I67" t="str">
            <v>Re/Lng</v>
          </cell>
          <cell r="J67" t="str">
            <v>'86</v>
          </cell>
          <cell r="K67" t="str">
            <v>'87</v>
          </cell>
          <cell r="L67" t="str">
            <v>'88</v>
          </cell>
          <cell r="M67" t="str">
            <v>'89</v>
          </cell>
          <cell r="N67" t="str">
            <v>'90</v>
          </cell>
          <cell r="O67" t="str">
            <v>'91</v>
          </cell>
          <cell r="P67" t="str">
            <v>'92</v>
          </cell>
          <cell r="Q67" t="str">
            <v>'93</v>
          </cell>
          <cell r="R67" t="str">
            <v>'94</v>
          </cell>
          <cell r="S67" t="str">
            <v>'95</v>
          </cell>
          <cell r="T67" t="str">
            <v>'96</v>
          </cell>
          <cell r="U67" t="str">
            <v>'97</v>
          </cell>
          <cell r="V67" t="str">
            <v>'98</v>
          </cell>
          <cell r="W67" t="str">
            <v>'99.1</v>
          </cell>
          <cell r="X67" t="str">
            <v>'99.2</v>
          </cell>
          <cell r="Y67" t="str">
            <v>'99.3</v>
          </cell>
        </row>
        <row r="68">
          <cell r="D68" t="str">
            <v>CAD</v>
          </cell>
        </row>
        <row r="76">
          <cell r="A76" t="str">
            <v>MC SEG</v>
          </cell>
          <cell r="B76" t="str">
            <v>SUB SEG</v>
          </cell>
          <cell r="C76" t="str">
            <v>D/I</v>
          </cell>
          <cell r="D76" t="str">
            <v>MAK</v>
          </cell>
          <cell r="E76" t="str">
            <v>MDL</v>
          </cell>
          <cell r="F76" t="str">
            <v>DR</v>
          </cell>
          <cell r="G76" t="str">
            <v>DRT</v>
          </cell>
          <cell r="H76" t="str">
            <v>CYL</v>
          </cell>
          <cell r="I76" t="str">
            <v>Re/Lng</v>
          </cell>
          <cell r="J76" t="str">
            <v>'86</v>
          </cell>
          <cell r="K76" t="str">
            <v>'87</v>
          </cell>
          <cell r="L76" t="str">
            <v>'88</v>
          </cell>
          <cell r="M76" t="str">
            <v>'89</v>
          </cell>
          <cell r="N76" t="str">
            <v>'90</v>
          </cell>
          <cell r="O76" t="str">
            <v>'91</v>
          </cell>
          <cell r="P76" t="str">
            <v>'92</v>
          </cell>
          <cell r="Q76" t="str">
            <v>'93</v>
          </cell>
          <cell r="R76" t="str">
            <v>'94</v>
          </cell>
          <cell r="S76" t="str">
            <v>'95</v>
          </cell>
          <cell r="T76" t="str">
            <v>'96</v>
          </cell>
          <cell r="U76" t="str">
            <v>'97</v>
          </cell>
          <cell r="V76" t="str">
            <v>'98</v>
          </cell>
          <cell r="W76" t="str">
            <v>'99.1</v>
          </cell>
          <cell r="X76" t="str">
            <v>'99.2</v>
          </cell>
          <cell r="Y76" t="str">
            <v>'99.3</v>
          </cell>
        </row>
        <row r="77">
          <cell r="D77" t="str">
            <v>LIN</v>
          </cell>
        </row>
      </sheetData>
      <sheetData sheetId="2"/>
      <sheetData sheetId="3"/>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LEVbase "/>
      <sheetName val="NLEV"/>
      <sheetName val="Post 53_R2"/>
      <sheetName val="STEP4_R2"/>
      <sheetName val="STEP3_R2-2"/>
      <sheetName val="STEP3_R2"/>
      <sheetName val="Sheet1"/>
      <sheetName val="作業ﾒﾓ"/>
      <sheetName val="①PMﾃｰﾌﾞﾙ"/>
      <sheetName val="②担体・加工ﾃｰﾌﾞﾙ"/>
      <sheetName val="③Caseﾃｰﾌﾞﾙ"/>
      <sheetName val="②担体_加工ﾃｰﾌﾞﾙ"/>
      <sheetName val="資料３.台数検討"/>
      <sheetName val="①PM?????"/>
      <sheetName val="②担体?加工?????"/>
      <sheetName val="③Case?????"/>
      <sheetName val="99B Spec(#1)"/>
      <sheetName val="①PM_____"/>
      <sheetName val="②担体_加工_____"/>
      <sheetName val="③Case_____"/>
      <sheetName val="P12TQF"/>
      <sheetName val="Codes"/>
      <sheetName val="Sheet2"/>
      <sheetName val="Cal"/>
      <sheetName val="Allocation"/>
      <sheetName val="#REF"/>
      <sheetName val="Map"/>
      <sheetName val="VL PBT"/>
      <sheetName val="Rev"/>
      <sheetName val="Volumes"/>
      <sheetName val="B実部ﾃｽﾄ別工数"/>
      <sheetName val="SUM14ZC1"/>
      <sheetName val="検索条件メイク"/>
      <sheetName val="BSS"/>
      <sheetName val="機種別"/>
      <sheetName val="数値表"/>
      <sheetName val="ﾕｰｻﾞｰ設定"/>
      <sheetName val="FAP"/>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0">
          <cell r="T10" t="str">
            <v>PTg</v>
          </cell>
          <cell r="U10" t="str">
            <v>PDg</v>
          </cell>
          <cell r="V10" t="str">
            <v>RHg</v>
          </cell>
          <cell r="W10">
            <v>0.51</v>
          </cell>
          <cell r="X10">
            <v>0.56000000000000005</v>
          </cell>
          <cell r="Y10">
            <v>0.69</v>
          </cell>
          <cell r="Z10">
            <v>0.8</v>
          </cell>
          <cell r="AA10">
            <v>1</v>
          </cell>
          <cell r="AB10">
            <v>0.72</v>
          </cell>
          <cell r="AC10">
            <v>1.04</v>
          </cell>
          <cell r="AD10">
            <v>1.29</v>
          </cell>
          <cell r="AE10">
            <v>0.5</v>
          </cell>
          <cell r="AF10">
            <v>0.42</v>
          </cell>
          <cell r="AG10">
            <v>0.66</v>
          </cell>
          <cell r="AH10">
            <v>0.8</v>
          </cell>
          <cell r="AI10">
            <v>1</v>
          </cell>
          <cell r="AJ10">
            <v>1.31</v>
          </cell>
          <cell r="AK10">
            <v>0.52</v>
          </cell>
          <cell r="AL10">
            <v>0.79</v>
          </cell>
          <cell r="AM10">
            <v>1.05</v>
          </cell>
        </row>
        <row r="11">
          <cell r="D11">
            <v>1</v>
          </cell>
          <cell r="E11" t="str">
            <v>JM166</v>
          </cell>
          <cell r="F11" t="str">
            <v>0/10/1</v>
          </cell>
          <cell r="G11">
            <v>1</v>
          </cell>
          <cell r="H11" t="str">
            <v>⑮ROUND 93*147.5</v>
          </cell>
          <cell r="K11">
            <v>1.3</v>
          </cell>
          <cell r="T11">
            <v>0</v>
          </cell>
          <cell r="U11">
            <v>1112.4690909090909</v>
          </cell>
          <cell r="V11">
            <v>204.94736363636366</v>
          </cell>
          <cell r="W11">
            <v>671.88239181818176</v>
          </cell>
          <cell r="X11">
            <v>737.75293017178637</v>
          </cell>
          <cell r="Y11">
            <v>909.01735363636351</v>
          </cell>
          <cell r="Z11">
            <v>1053.9331636363636</v>
          </cell>
          <cell r="AA11">
            <v>1317.4164545454546</v>
          </cell>
          <cell r="AB11">
            <v>948.53984727272723</v>
          </cell>
          <cell r="AC11">
            <v>1370.1131127272731</v>
          </cell>
          <cell r="AD11">
            <v>1699.4672263636364</v>
          </cell>
          <cell r="AE11">
            <v>658.7082272727273</v>
          </cell>
          <cell r="AF11">
            <v>553.31491090909094</v>
          </cell>
          <cell r="AG11">
            <v>869.49486000000002</v>
          </cell>
          <cell r="AH11">
            <v>1053.9331636363636</v>
          </cell>
          <cell r="AI11">
            <v>1317.4164545454546</v>
          </cell>
          <cell r="AJ11">
            <v>1725.8155554545453</v>
          </cell>
          <cell r="AK11">
            <v>685.05655636363656</v>
          </cell>
          <cell r="AL11">
            <v>1040.7589990909091</v>
          </cell>
          <cell r="AM11">
            <v>1383.2872772727274</v>
          </cell>
        </row>
        <row r="12">
          <cell r="D12">
            <v>2</v>
          </cell>
          <cell r="E12" t="str">
            <v>IEX-607MH</v>
          </cell>
          <cell r="F12" t="str">
            <v>2/35/1</v>
          </cell>
          <cell r="G12">
            <v>1</v>
          </cell>
          <cell r="H12" t="str">
            <v>⑮ROUND 93*147.5</v>
          </cell>
          <cell r="K12">
            <v>6.7</v>
          </cell>
          <cell r="T12">
            <v>543.85310526315789</v>
          </cell>
          <cell r="U12">
            <v>5808.935263157895</v>
          </cell>
          <cell r="V12">
            <v>305.76155263157898</v>
          </cell>
          <cell r="W12">
            <v>3395.8593778679551</v>
          </cell>
          <cell r="X12">
            <v>3728.7879557894739</v>
          </cell>
          <cell r="Y12">
            <v>4594.3994455263146</v>
          </cell>
          <cell r="Z12">
            <v>5326.839936842106</v>
          </cell>
          <cell r="AA12">
            <v>6658.5499210526323</v>
          </cell>
          <cell r="AB12">
            <v>4794.1559431578944</v>
          </cell>
          <cell r="AC12">
            <v>6924.8919178947381</v>
          </cell>
          <cell r="AD12">
            <v>8589.5293981578961</v>
          </cell>
          <cell r="AE12">
            <v>3329.2749605263161</v>
          </cell>
          <cell r="AF12">
            <v>2796.5909668421054</v>
          </cell>
          <cell r="AG12">
            <v>4394.6429478947375</v>
          </cell>
          <cell r="AH12">
            <v>5326.839936842106</v>
          </cell>
          <cell r="AI12">
            <v>6658.5499210526323</v>
          </cell>
          <cell r="AJ12">
            <v>8722.7003965789481</v>
          </cell>
          <cell r="AK12">
            <v>3462.445958947369</v>
          </cell>
          <cell r="AL12">
            <v>5260.2544376315791</v>
          </cell>
          <cell r="AM12">
            <v>6991.4774171052632</v>
          </cell>
        </row>
        <row r="13">
          <cell r="D13">
            <v>3</v>
          </cell>
          <cell r="E13" t="str">
            <v>E95-H1</v>
          </cell>
          <cell r="F13" t="str">
            <v>0/10/1</v>
          </cell>
          <cell r="G13">
            <v>1</v>
          </cell>
          <cell r="H13" t="str">
            <v>⑮ROUND 93*147.5</v>
          </cell>
          <cell r="K13">
            <v>1.6</v>
          </cell>
          <cell r="T13">
            <v>0</v>
          </cell>
          <cell r="U13">
            <v>1369.1927272727273</v>
          </cell>
          <cell r="V13">
            <v>252.24290909090914</v>
          </cell>
          <cell r="W13">
            <v>826.93212962341386</v>
          </cell>
          <cell r="X13">
            <v>908.00395636363646</v>
          </cell>
          <cell r="Y13">
            <v>1118.7905890909087</v>
          </cell>
          <cell r="Z13">
            <v>1297.1485090909093</v>
          </cell>
          <cell r="AA13">
            <v>1621.4356363636364</v>
          </cell>
          <cell r="AB13">
            <v>1167.4336581818179</v>
          </cell>
          <cell r="AC13">
            <v>1686.293061818182</v>
          </cell>
          <cell r="AD13">
            <v>2091.6519709090908</v>
          </cell>
          <cell r="AE13">
            <v>810.71781818181819</v>
          </cell>
          <cell r="AF13">
            <v>681.00296727272735</v>
          </cell>
          <cell r="AG13">
            <v>1070.14752</v>
          </cell>
          <cell r="AH13">
            <v>1297.1485090909093</v>
          </cell>
          <cell r="AI13">
            <v>1621.4356363636364</v>
          </cell>
          <cell r="AJ13">
            <v>2124.0806836363636</v>
          </cell>
          <cell r="AK13">
            <v>843.14653090909098</v>
          </cell>
          <cell r="AL13">
            <v>1280.9341527272727</v>
          </cell>
          <cell r="AM13">
            <v>1702.5074181818184</v>
          </cell>
        </row>
        <row r="14">
          <cell r="D14">
            <v>4</v>
          </cell>
          <cell r="E14" t="str">
            <v>E60</v>
          </cell>
          <cell r="F14" t="str">
            <v>5/0/1</v>
          </cell>
          <cell r="G14">
            <v>1</v>
          </cell>
          <cell r="H14" t="str">
            <v>⑮ROUND 93*147.5</v>
          </cell>
          <cell r="K14">
            <v>1.3</v>
          </cell>
          <cell r="T14">
            <v>1670.7925</v>
          </cell>
          <cell r="U14">
            <v>0</v>
          </cell>
          <cell r="V14">
            <v>375.73683333333338</v>
          </cell>
          <cell r="W14">
            <v>1043.7294936220751</v>
          </cell>
          <cell r="X14">
            <v>1146.056426666667</v>
          </cell>
          <cell r="Y14">
            <v>1412.1052399999999</v>
          </cell>
          <cell r="Z14">
            <v>1637.2234666666668</v>
          </cell>
          <cell r="AA14">
            <v>2046.5293333333336</v>
          </cell>
          <cell r="AB14">
            <v>1473.5011199999999</v>
          </cell>
          <cell r="AC14">
            <v>2128.3905066666666</v>
          </cell>
          <cell r="AD14">
            <v>2640.0228400000001</v>
          </cell>
          <cell r="AE14">
            <v>1023.2646666666668</v>
          </cell>
          <cell r="AF14">
            <v>859.54232000000002</v>
          </cell>
          <cell r="AG14">
            <v>1350.7093600000001</v>
          </cell>
          <cell r="AH14">
            <v>1637.2234666666668</v>
          </cell>
          <cell r="AI14">
            <v>2046.5293333333336</v>
          </cell>
          <cell r="AJ14">
            <v>2680.9534266666665</v>
          </cell>
          <cell r="AK14">
            <v>1064.1952533333333</v>
          </cell>
          <cell r="AL14">
            <v>1616.7581733333336</v>
          </cell>
          <cell r="AM14">
            <v>2148.8558000000003</v>
          </cell>
        </row>
        <row r="15">
          <cell r="D15">
            <v>5</v>
          </cell>
          <cell r="E15" t="str">
            <v>E60-HT1
(1.3 g/L)</v>
          </cell>
          <cell r="F15" t="str">
            <v>5/0/1</v>
          </cell>
          <cell r="G15">
            <v>1</v>
          </cell>
          <cell r="H15" t="str">
            <v>⑮ROUND 93*147.5</v>
          </cell>
          <cell r="K15">
            <v>1.3</v>
          </cell>
          <cell r="T15">
            <v>1670.7925</v>
          </cell>
          <cell r="U15">
            <v>0</v>
          </cell>
          <cell r="V15">
            <v>375.73683333333338</v>
          </cell>
          <cell r="W15">
            <v>1043.7294936223225</v>
          </cell>
          <cell r="X15">
            <v>1146.056426666667</v>
          </cell>
          <cell r="Y15">
            <v>1412.1052399999999</v>
          </cell>
          <cell r="Z15">
            <v>1637.2234666666668</v>
          </cell>
          <cell r="AA15">
            <v>2046.5293333333336</v>
          </cell>
          <cell r="AB15">
            <v>1473.5011199999999</v>
          </cell>
          <cell r="AC15">
            <v>2128.3905066666666</v>
          </cell>
          <cell r="AD15">
            <v>2640.0228400000001</v>
          </cell>
          <cell r="AE15">
            <v>1023.2646666666668</v>
          </cell>
          <cell r="AF15">
            <v>859.54232000000002</v>
          </cell>
          <cell r="AG15">
            <v>1350.7093600000001</v>
          </cell>
          <cell r="AH15">
            <v>1637.2234666666668</v>
          </cell>
          <cell r="AI15">
            <v>2046.5293333333336</v>
          </cell>
          <cell r="AJ15">
            <v>2680.9534266666665</v>
          </cell>
          <cell r="AK15">
            <v>1064.1952533333333</v>
          </cell>
          <cell r="AL15">
            <v>1616.7581733333336</v>
          </cell>
          <cell r="AM15">
            <v>2148.8558000000003</v>
          </cell>
        </row>
        <row r="16">
          <cell r="D16">
            <v>6</v>
          </cell>
          <cell r="E16" t="str">
            <v>E60-HT1
(1.6 g/L)</v>
          </cell>
          <cell r="F16" t="str">
            <v>5/0/1</v>
          </cell>
          <cell r="G16">
            <v>1</v>
          </cell>
          <cell r="H16" t="str">
            <v>⑮ROUND 93*147.5</v>
          </cell>
          <cell r="K16">
            <v>1.6</v>
          </cell>
          <cell r="T16">
            <v>2056.3600000000006</v>
          </cell>
          <cell r="U16">
            <v>0</v>
          </cell>
          <cell r="V16">
            <v>462.44533333333328</v>
          </cell>
          <cell r="W16">
            <v>1284.5898451850699</v>
          </cell>
          <cell r="X16">
            <v>1410.5309866666669</v>
          </cell>
          <cell r="Y16">
            <v>1737.9756799999998</v>
          </cell>
          <cell r="Z16">
            <v>2015.0442666666672</v>
          </cell>
          <cell r="AA16">
            <v>2518.8053333333337</v>
          </cell>
          <cell r="AB16">
            <v>1813.5398399999999</v>
          </cell>
          <cell r="AC16">
            <v>2619.5575466666669</v>
          </cell>
          <cell r="AD16">
            <v>3249.2588800000003</v>
          </cell>
          <cell r="AE16">
            <v>1259.4026666666668</v>
          </cell>
          <cell r="AF16">
            <v>1057.8982400000002</v>
          </cell>
          <cell r="AG16">
            <v>1662.4115200000001</v>
          </cell>
          <cell r="AH16">
            <v>2015.0442666666672</v>
          </cell>
          <cell r="AI16">
            <v>2518.8053333333337</v>
          </cell>
          <cell r="AJ16">
            <v>3299.6349866666669</v>
          </cell>
          <cell r="AK16">
            <v>1309.7787733333334</v>
          </cell>
          <cell r="AL16">
            <v>1989.8562133333339</v>
          </cell>
          <cell r="AM16">
            <v>2644.7456000000002</v>
          </cell>
        </row>
        <row r="17">
          <cell r="D17">
            <v>7</v>
          </cell>
          <cell r="E17" t="str">
            <v>E60-HT
(1.3 g/L)</v>
          </cell>
          <cell r="F17" t="str">
            <v>5/0/1</v>
          </cell>
          <cell r="G17">
            <v>1</v>
          </cell>
          <cell r="H17" t="str">
            <v>⑮ROUND 93*147.5</v>
          </cell>
          <cell r="K17">
            <v>1.3</v>
          </cell>
          <cell r="T17">
            <v>1670.7925</v>
          </cell>
          <cell r="U17">
            <v>0</v>
          </cell>
          <cell r="V17">
            <v>375.73683333333338</v>
          </cell>
          <cell r="W17">
            <v>1043.7294936228172</v>
          </cell>
          <cell r="X17">
            <v>1146.056426666667</v>
          </cell>
          <cell r="Y17">
            <v>1412.1052399999999</v>
          </cell>
          <cell r="Z17">
            <v>1637.2234666666668</v>
          </cell>
          <cell r="AA17">
            <v>2046.5293333333336</v>
          </cell>
          <cell r="AB17">
            <v>1473.5011199999999</v>
          </cell>
          <cell r="AC17">
            <v>2128.3905066666666</v>
          </cell>
          <cell r="AD17">
            <v>2640.0228400000001</v>
          </cell>
          <cell r="AE17">
            <v>1023.2646666666668</v>
          </cell>
          <cell r="AF17">
            <v>859.54232000000002</v>
          </cell>
          <cell r="AG17">
            <v>1350.7093600000001</v>
          </cell>
          <cell r="AH17">
            <v>1637.2234666666668</v>
          </cell>
          <cell r="AI17">
            <v>2046.5293333333336</v>
          </cell>
          <cell r="AJ17">
            <v>2680.9534266666665</v>
          </cell>
          <cell r="AK17">
            <v>1064.1952533333333</v>
          </cell>
          <cell r="AL17">
            <v>1616.7581733333336</v>
          </cell>
          <cell r="AM17">
            <v>2148.8558000000003</v>
          </cell>
        </row>
        <row r="18">
          <cell r="D18">
            <v>8</v>
          </cell>
          <cell r="E18" t="str">
            <v>E60-HT
(1.6 g/L)</v>
          </cell>
          <cell r="F18" t="str">
            <v>5/0/1</v>
          </cell>
          <cell r="G18">
            <v>1</v>
          </cell>
          <cell r="H18" t="str">
            <v>⑮ROUND 93*147.5</v>
          </cell>
          <cell r="K18">
            <v>1.6</v>
          </cell>
          <cell r="T18">
            <v>2056.3600000000006</v>
          </cell>
          <cell r="U18">
            <v>0</v>
          </cell>
          <cell r="V18">
            <v>462.44533333333328</v>
          </cell>
          <cell r="W18">
            <v>1284.5898451855646</v>
          </cell>
          <cell r="X18">
            <v>1410.5309866666669</v>
          </cell>
          <cell r="Y18">
            <v>1737.9756799999998</v>
          </cell>
          <cell r="Z18">
            <v>2015.0442666666672</v>
          </cell>
          <cell r="AA18">
            <v>2518.8053333333337</v>
          </cell>
          <cell r="AB18">
            <v>1813.5398399999999</v>
          </cell>
          <cell r="AC18">
            <v>2619.5575466666669</v>
          </cell>
          <cell r="AD18">
            <v>3249.2588800000003</v>
          </cell>
          <cell r="AE18">
            <v>1259.4026666666668</v>
          </cell>
          <cell r="AF18">
            <v>1057.8982400000002</v>
          </cell>
          <cell r="AG18">
            <v>1662.4115200000001</v>
          </cell>
          <cell r="AH18">
            <v>2015.0442666666672</v>
          </cell>
          <cell r="AI18">
            <v>2518.8053333333337</v>
          </cell>
          <cell r="AJ18">
            <v>3299.6349866666669</v>
          </cell>
          <cell r="AK18">
            <v>1309.7787733333334</v>
          </cell>
          <cell r="AL18">
            <v>1989.8562133333339</v>
          </cell>
          <cell r="AM18">
            <v>2644.7456000000002</v>
          </cell>
        </row>
        <row r="19">
          <cell r="D19">
            <v>9</v>
          </cell>
          <cell r="E19" t="str">
            <v>E135-A2</v>
          </cell>
          <cell r="F19" t="str">
            <v>3/26/1</v>
          </cell>
          <cell r="G19">
            <v>1</v>
          </cell>
          <cell r="H19" t="str">
            <v>⑮ROUND 93*147.5</v>
          </cell>
          <cell r="K19">
            <v>5</v>
          </cell>
          <cell r="T19">
            <v>771.13499999999999</v>
          </cell>
          <cell r="U19">
            <v>4079.0533333333337</v>
          </cell>
          <cell r="V19">
            <v>289.02833333333331</v>
          </cell>
          <cell r="W19">
            <v>2621.000002871624</v>
          </cell>
          <cell r="X19">
            <v>2877.9613333333336</v>
          </cell>
          <cell r="Y19">
            <v>3546.0594999999998</v>
          </cell>
          <cell r="Z19">
            <v>4111.373333333333</v>
          </cell>
          <cell r="AA19">
            <v>5139.2166666666681</v>
          </cell>
          <cell r="AB19">
            <v>3700.2359999999994</v>
          </cell>
          <cell r="AC19">
            <v>5344.7853333333333</v>
          </cell>
          <cell r="AD19">
            <v>6629.589500000001</v>
          </cell>
          <cell r="AE19">
            <v>2569.608333333334</v>
          </cell>
          <cell r="AF19">
            <v>2158.471</v>
          </cell>
          <cell r="AG19">
            <v>3391.8830000000007</v>
          </cell>
          <cell r="AH19">
            <v>4111.373333333333</v>
          </cell>
          <cell r="AI19">
            <v>5139.2166666666681</v>
          </cell>
          <cell r="AJ19">
            <v>6732.3738333333349</v>
          </cell>
          <cell r="AK19">
            <v>2672.3926666666666</v>
          </cell>
          <cell r="AL19">
            <v>4059.9811666666674</v>
          </cell>
          <cell r="AM19">
            <v>5396.1774999999998</v>
          </cell>
        </row>
        <row r="20">
          <cell r="D20">
            <v>10</v>
          </cell>
          <cell r="E20" t="str">
            <v>E130-A2</v>
          </cell>
          <cell r="F20" t="str">
            <v>5/0/1</v>
          </cell>
          <cell r="G20">
            <v>1</v>
          </cell>
          <cell r="H20" t="str">
            <v>⑮ROUND 93*147.5</v>
          </cell>
          <cell r="K20">
            <v>1.2</v>
          </cell>
          <cell r="T20">
            <v>1542.27</v>
          </cell>
          <cell r="U20">
            <v>0</v>
          </cell>
          <cell r="V20">
            <v>346.83399999999995</v>
          </cell>
          <cell r="W20">
            <v>963.4428718117797</v>
          </cell>
          <cell r="X20">
            <v>1057.8982400000002</v>
          </cell>
          <cell r="Y20">
            <v>1303.4817599999999</v>
          </cell>
          <cell r="Z20">
            <v>1511.2832000000003</v>
          </cell>
          <cell r="AA20">
            <v>1889.104</v>
          </cell>
          <cell r="AB20">
            <v>1360.15488</v>
          </cell>
          <cell r="AC20">
            <v>1964.6681600000002</v>
          </cell>
          <cell r="AD20">
            <v>2436.94416</v>
          </cell>
          <cell r="AE20">
            <v>944.55200000000002</v>
          </cell>
          <cell r="AF20">
            <v>793.4236800000001</v>
          </cell>
          <cell r="AG20">
            <v>1246.8086400000002</v>
          </cell>
          <cell r="AH20">
            <v>1511.2832000000003</v>
          </cell>
          <cell r="AI20">
            <v>1889.104</v>
          </cell>
          <cell r="AJ20">
            <v>2474.72624</v>
          </cell>
          <cell r="AK20">
            <v>982.33408000000009</v>
          </cell>
          <cell r="AL20">
            <v>1492.3921600000001</v>
          </cell>
          <cell r="AM20">
            <v>1983.5592000000001</v>
          </cell>
        </row>
        <row r="21">
          <cell r="E21" t="str">
            <v>E130-A2
(1.6 g/L)</v>
          </cell>
          <cell r="F21" t="str">
            <v>5/0/1</v>
          </cell>
          <cell r="G21">
            <v>1</v>
          </cell>
          <cell r="H21" t="str">
            <v>⑮ROUND 93*147.5</v>
          </cell>
          <cell r="K21">
            <v>1.6</v>
          </cell>
          <cell r="T21">
            <v>2056.3600000000006</v>
          </cell>
          <cell r="U21">
            <v>0</v>
          </cell>
          <cell r="V21">
            <v>462.44533333333328</v>
          </cell>
          <cell r="W21">
            <v>1284.5898451863068</v>
          </cell>
          <cell r="X21">
            <v>1410.5309866666669</v>
          </cell>
          <cell r="Y21">
            <v>1737.9756799999998</v>
          </cell>
          <cell r="Z21">
            <v>2015.0442666666672</v>
          </cell>
          <cell r="AA21">
            <v>2518.8053333333337</v>
          </cell>
          <cell r="AB21">
            <v>1813.5398399999999</v>
          </cell>
          <cell r="AC21">
            <v>2619.5575466666669</v>
          </cell>
          <cell r="AD21">
            <v>3249.2588800000003</v>
          </cell>
          <cell r="AE21">
            <v>1259.4026666666668</v>
          </cell>
          <cell r="AF21">
            <v>1057.8982400000002</v>
          </cell>
          <cell r="AG21">
            <v>1662.4115200000001</v>
          </cell>
          <cell r="AH21">
            <v>2015.0442666666672</v>
          </cell>
          <cell r="AI21">
            <v>2518.8053333333337</v>
          </cell>
          <cell r="AJ21">
            <v>3299.6349866666669</v>
          </cell>
          <cell r="AK21">
            <v>1309.7787733333334</v>
          </cell>
          <cell r="AL21">
            <v>1989.8562133333339</v>
          </cell>
          <cell r="AM21">
            <v>2644.7456000000002</v>
          </cell>
        </row>
        <row r="22">
          <cell r="D22">
            <v>11</v>
          </cell>
          <cell r="E22" t="str">
            <v>E130-H2
(1.2 g/L)</v>
          </cell>
          <cell r="F22" t="str">
            <v>5/0/1</v>
          </cell>
          <cell r="G22">
            <v>1</v>
          </cell>
          <cell r="H22" t="str">
            <v>⑮ROUND 93*147.5</v>
          </cell>
          <cell r="K22">
            <v>1.2</v>
          </cell>
          <cell r="T22">
            <v>1542.27</v>
          </cell>
          <cell r="U22">
            <v>0</v>
          </cell>
          <cell r="V22">
            <v>346.83399999999995</v>
          </cell>
          <cell r="W22">
            <v>963.44287133518992</v>
          </cell>
          <cell r="X22">
            <v>1057.8974618974644</v>
          </cell>
          <cell r="Y22">
            <v>1303.4817599999999</v>
          </cell>
          <cell r="Z22">
            <v>1511.2832000000003</v>
          </cell>
          <cell r="AA22">
            <v>1889.104</v>
          </cell>
          <cell r="AB22">
            <v>1360.15488</v>
          </cell>
          <cell r="AC22">
            <v>1964.6681600000002</v>
          </cell>
          <cell r="AD22">
            <v>2436.94416</v>
          </cell>
          <cell r="AE22">
            <v>944.55200000000002</v>
          </cell>
          <cell r="AF22">
            <v>793.4236800000001</v>
          </cell>
          <cell r="AG22">
            <v>1246.8086400000002</v>
          </cell>
          <cell r="AH22">
            <v>1511.2832000000003</v>
          </cell>
          <cell r="AI22">
            <v>1889.104</v>
          </cell>
          <cell r="AJ22">
            <v>2474.72624</v>
          </cell>
          <cell r="AK22">
            <v>982.33408000000009</v>
          </cell>
          <cell r="AL22">
            <v>1492.3921600000001</v>
          </cell>
          <cell r="AM22">
            <v>1983.5592000000001</v>
          </cell>
        </row>
        <row r="23">
          <cell r="D23">
            <v>12</v>
          </cell>
          <cell r="E23" t="str">
            <v>E130-H2
(2.0 g/L)</v>
          </cell>
          <cell r="F23" t="str">
            <v>5/0/1</v>
          </cell>
          <cell r="G23">
            <v>1</v>
          </cell>
          <cell r="H23" t="str">
            <v>⑮ROUND 93*147.5</v>
          </cell>
          <cell r="K23">
            <v>2</v>
          </cell>
          <cell r="T23">
            <v>2570.4499999999998</v>
          </cell>
          <cell r="U23">
            <v>0</v>
          </cell>
          <cell r="V23">
            <v>578.05666666666662</v>
          </cell>
          <cell r="W23">
            <v>1605.7382826868534</v>
          </cell>
          <cell r="X23">
            <v>1763.1637333333335</v>
          </cell>
          <cell r="Y23">
            <v>2172.4695999999999</v>
          </cell>
          <cell r="Z23">
            <v>2518.8053333333337</v>
          </cell>
          <cell r="AA23">
            <v>3148.5066666666662</v>
          </cell>
          <cell r="AB23">
            <v>2266.9247999999998</v>
          </cell>
          <cell r="AC23">
            <v>3274.4469333333336</v>
          </cell>
          <cell r="AD23">
            <v>4061.5736000000006</v>
          </cell>
          <cell r="AE23">
            <v>1574.2533333333331</v>
          </cell>
          <cell r="AF23">
            <v>1322.3727999999999</v>
          </cell>
          <cell r="AG23">
            <v>2078.0144</v>
          </cell>
          <cell r="AH23">
            <v>2518.8053333333337</v>
          </cell>
          <cell r="AI23">
            <v>3148.5066666666662</v>
          </cell>
          <cell r="AJ23">
            <v>4124.5437333333339</v>
          </cell>
          <cell r="AK23">
            <v>1637.2234666666668</v>
          </cell>
          <cell r="AL23">
            <v>2487.3202666666671</v>
          </cell>
          <cell r="AM23">
            <v>3305.9320000000002</v>
          </cell>
        </row>
        <row r="24">
          <cell r="D24">
            <v>13</v>
          </cell>
          <cell r="E24" t="str">
            <v>E130-H1</v>
          </cell>
          <cell r="F24" t="str">
            <v>5/0/1</v>
          </cell>
          <cell r="G24">
            <v>1</v>
          </cell>
          <cell r="H24" t="str">
            <v>⑮ROUND 93*147.5</v>
          </cell>
          <cell r="K24">
            <v>1.2</v>
          </cell>
          <cell r="T24">
            <v>1542.27</v>
          </cell>
          <cell r="U24">
            <v>0</v>
          </cell>
          <cell r="V24">
            <v>346.83399999999995</v>
          </cell>
          <cell r="W24">
            <v>963.44287181231903</v>
          </cell>
          <cell r="X24">
            <v>1057.8982400000002</v>
          </cell>
          <cell r="Y24">
            <v>1303.4817599999999</v>
          </cell>
          <cell r="Z24">
            <v>1511.2832000000003</v>
          </cell>
          <cell r="AA24">
            <v>1889.104</v>
          </cell>
          <cell r="AB24">
            <v>1360.15488</v>
          </cell>
          <cell r="AC24">
            <v>1964.6681600000002</v>
          </cell>
          <cell r="AD24">
            <v>2436.94416</v>
          </cell>
          <cell r="AE24">
            <v>944.55200000000002</v>
          </cell>
          <cell r="AF24">
            <v>793.4236800000001</v>
          </cell>
          <cell r="AG24">
            <v>1246.8086400000002</v>
          </cell>
          <cell r="AH24">
            <v>1511.2832000000003</v>
          </cell>
          <cell r="AI24">
            <v>1889.104</v>
          </cell>
          <cell r="AJ24">
            <v>2474.72624</v>
          </cell>
          <cell r="AK24">
            <v>982.33408000000009</v>
          </cell>
          <cell r="AL24">
            <v>1492.3921600000001</v>
          </cell>
          <cell r="AM24">
            <v>1983.5592000000001</v>
          </cell>
        </row>
        <row r="25">
          <cell r="D25">
            <v>14</v>
          </cell>
          <cell r="E25" t="str">
            <v>E130</v>
          </cell>
          <cell r="F25" t="str">
            <v>5/0/1</v>
          </cell>
          <cell r="G25">
            <v>1</v>
          </cell>
          <cell r="H25" t="str">
            <v>⑮ROUND 93*147.5</v>
          </cell>
          <cell r="K25">
            <v>0.8</v>
          </cell>
          <cell r="T25">
            <v>1028.1800000000003</v>
          </cell>
          <cell r="U25">
            <v>0</v>
          </cell>
          <cell r="V25">
            <v>231.22266666666664</v>
          </cell>
          <cell r="W25">
            <v>642.29492259369272</v>
          </cell>
          <cell r="X25">
            <v>705.26549333333344</v>
          </cell>
          <cell r="Y25">
            <v>868.98783999999989</v>
          </cell>
          <cell r="Z25">
            <v>1007.5221333333336</v>
          </cell>
          <cell r="AA25">
            <v>1259.4026666666668</v>
          </cell>
          <cell r="AB25">
            <v>906.76991999999996</v>
          </cell>
          <cell r="AC25">
            <v>1309.7787733333334</v>
          </cell>
          <cell r="AD25">
            <v>1624.6294400000002</v>
          </cell>
          <cell r="AE25">
            <v>629.70133333333342</v>
          </cell>
          <cell r="AF25">
            <v>528.94912000000011</v>
          </cell>
          <cell r="AG25">
            <v>831.20576000000005</v>
          </cell>
          <cell r="AH25">
            <v>1007.5221333333336</v>
          </cell>
          <cell r="AI25">
            <v>1259.4026666666668</v>
          </cell>
          <cell r="AJ25">
            <v>1649.8174933333335</v>
          </cell>
          <cell r="AK25">
            <v>654.88938666666672</v>
          </cell>
          <cell r="AL25">
            <v>994.92810666666696</v>
          </cell>
          <cell r="AM25">
            <v>1322.3728000000001</v>
          </cell>
        </row>
        <row r="26">
          <cell r="D26">
            <v>15</v>
          </cell>
          <cell r="E26" t="str">
            <v>GEX-415D</v>
          </cell>
          <cell r="F26" t="str">
            <v>1/0/0</v>
          </cell>
          <cell r="G26">
            <v>1</v>
          </cell>
          <cell r="H26" t="str">
            <v>⑮ROUND 93*147.5</v>
          </cell>
          <cell r="K26">
            <v>1</v>
          </cell>
          <cell r="T26">
            <v>1542.27</v>
          </cell>
          <cell r="U26">
            <v>0</v>
          </cell>
          <cell r="V26">
            <v>0</v>
          </cell>
          <cell r="W26">
            <v>786.55761790631641</v>
          </cell>
          <cell r="X26">
            <v>863.67120000000011</v>
          </cell>
          <cell r="Y26">
            <v>1064.1662999999999</v>
          </cell>
          <cell r="Z26">
            <v>1233.8160000000003</v>
          </cell>
          <cell r="AA26">
            <v>1542.27</v>
          </cell>
          <cell r="AB26">
            <v>1110.4344000000001</v>
          </cell>
          <cell r="AC26">
            <v>1603.9608000000001</v>
          </cell>
          <cell r="AD26">
            <v>1989.5283000000002</v>
          </cell>
          <cell r="AE26">
            <v>771.13499999999999</v>
          </cell>
          <cell r="AF26">
            <v>647.75340000000006</v>
          </cell>
          <cell r="AG26">
            <v>1017.8982000000001</v>
          </cell>
          <cell r="AH26">
            <v>1233.8160000000003</v>
          </cell>
          <cell r="AI26">
            <v>1542.27</v>
          </cell>
          <cell r="AJ26">
            <v>2020.3737000000001</v>
          </cell>
          <cell r="AK26">
            <v>801.98040000000003</v>
          </cell>
          <cell r="AL26">
            <v>1218.3933000000002</v>
          </cell>
          <cell r="AM26">
            <v>1619.3835000000001</v>
          </cell>
        </row>
        <row r="27">
          <cell r="D27">
            <v>16</v>
          </cell>
          <cell r="E27" t="str">
            <v>TRM710
[TDH-134]</v>
          </cell>
          <cell r="F27" t="str">
            <v>1/17/3</v>
          </cell>
          <cell r="G27">
            <v>1</v>
          </cell>
          <cell r="H27" t="str">
            <v>⑮ROUND 93*147.5</v>
          </cell>
          <cell r="K27">
            <v>7</v>
          </cell>
          <cell r="T27">
            <v>534.44999999999993</v>
          </cell>
          <cell r="U27">
            <v>5545.4000000000005</v>
          </cell>
          <cell r="V27">
            <v>1802.8500000000001</v>
          </cell>
          <cell r="W27">
            <v>4020.1757841257604</v>
          </cell>
          <cell r="X27">
            <v>4414.3120000000008</v>
          </cell>
          <cell r="Y27">
            <v>5439.0630000000001</v>
          </cell>
          <cell r="Z27">
            <v>6306.1600000000017</v>
          </cell>
          <cell r="AA27">
            <v>7882.7000000000007</v>
          </cell>
          <cell r="AB27">
            <v>5675.5439999999999</v>
          </cell>
          <cell r="AC27">
            <v>8198.0080000000016</v>
          </cell>
          <cell r="AD27">
            <v>10168.683000000001</v>
          </cell>
          <cell r="AE27">
            <v>3941.3500000000004</v>
          </cell>
          <cell r="AF27">
            <v>3310.7339999999999</v>
          </cell>
          <cell r="AG27">
            <v>5202.5820000000003</v>
          </cell>
          <cell r="AH27">
            <v>6306.1600000000017</v>
          </cell>
          <cell r="AI27">
            <v>7882.7000000000007</v>
          </cell>
          <cell r="AJ27">
            <v>10326.337000000001</v>
          </cell>
          <cell r="AK27">
            <v>4099.0040000000008</v>
          </cell>
          <cell r="AL27">
            <v>6227.3330000000005</v>
          </cell>
          <cell r="AM27">
            <v>8276.8350000000009</v>
          </cell>
        </row>
        <row r="28">
          <cell r="D28">
            <v>17</v>
          </cell>
          <cell r="E28" t="str">
            <v>TRM720
[TDH-98]</v>
          </cell>
          <cell r="F28" t="str">
            <v>1/17/3</v>
          </cell>
          <cell r="G28">
            <v>1</v>
          </cell>
          <cell r="H28" t="str">
            <v>⑮ROUND 93*147.5</v>
          </cell>
          <cell r="K28">
            <v>3.15</v>
          </cell>
          <cell r="T28">
            <v>240.5025</v>
          </cell>
          <cell r="U28">
            <v>2495.4299999999998</v>
          </cell>
          <cell r="V28">
            <v>811.28249999999991</v>
          </cell>
          <cell r="W28">
            <v>1809.0791030006276</v>
          </cell>
          <cell r="X28">
            <v>1986.4404</v>
          </cell>
          <cell r="Y28">
            <v>2447.5783499999998</v>
          </cell>
          <cell r="Z28">
            <v>2837.7719999999999</v>
          </cell>
          <cell r="AA28">
            <v>3547.2150000000001</v>
          </cell>
          <cell r="AB28">
            <v>2553.9947999999999</v>
          </cell>
          <cell r="AC28">
            <v>3689.1035999999999</v>
          </cell>
          <cell r="AD28">
            <v>4575.9073500000004</v>
          </cell>
          <cell r="AE28">
            <v>1773.6075000000001</v>
          </cell>
          <cell r="AF28">
            <v>1489.8303000000001</v>
          </cell>
          <cell r="AG28">
            <v>2341.1619000000005</v>
          </cell>
          <cell r="AH28">
            <v>2837.7719999999999</v>
          </cell>
          <cell r="AI28">
            <v>3547.2150000000001</v>
          </cell>
          <cell r="AJ28">
            <v>4646.8516500000005</v>
          </cell>
          <cell r="AK28">
            <v>1844.5518</v>
          </cell>
          <cell r="AL28">
            <v>2802.2998499999999</v>
          </cell>
          <cell r="AM28">
            <v>3724.5757500000009</v>
          </cell>
        </row>
        <row r="29">
          <cell r="D29">
            <v>18</v>
          </cell>
          <cell r="E29" t="str">
            <v>TRM730
[TDH-77]</v>
          </cell>
          <cell r="F29" t="str">
            <v>1/17/3</v>
          </cell>
          <cell r="G29">
            <v>1</v>
          </cell>
          <cell r="H29" t="str">
            <v>⑮ROUND 93*147.5</v>
          </cell>
          <cell r="K29">
            <v>3.15</v>
          </cell>
          <cell r="T29">
            <v>240.5025</v>
          </cell>
          <cell r="U29">
            <v>2495.4299999999998</v>
          </cell>
          <cell r="V29">
            <v>811.28249999999991</v>
          </cell>
          <cell r="W29">
            <v>1809.079103000875</v>
          </cell>
          <cell r="X29">
            <v>1986.4404</v>
          </cell>
          <cell r="Y29">
            <v>2447.5783499999998</v>
          </cell>
          <cell r="Z29">
            <v>2837.7719999999999</v>
          </cell>
          <cell r="AA29">
            <v>3547.2150000000001</v>
          </cell>
          <cell r="AB29">
            <v>2553.9947999999999</v>
          </cell>
          <cell r="AC29">
            <v>3689.1035999999999</v>
          </cell>
          <cell r="AD29">
            <v>4575.9073500000004</v>
          </cell>
          <cell r="AE29">
            <v>1773.6075000000001</v>
          </cell>
          <cell r="AF29">
            <v>1489.8303000000001</v>
          </cell>
          <cell r="AG29">
            <v>2341.1619000000005</v>
          </cell>
          <cell r="AH29">
            <v>2837.7719999999999</v>
          </cell>
          <cell r="AI29">
            <v>3547.2150000000001</v>
          </cell>
          <cell r="AJ29">
            <v>4646.8516500000005</v>
          </cell>
          <cell r="AK29">
            <v>1844.5518</v>
          </cell>
          <cell r="AL29">
            <v>2802.2998499999999</v>
          </cell>
          <cell r="AM29">
            <v>3724.5757500000009</v>
          </cell>
        </row>
        <row r="30">
          <cell r="D30">
            <v>19</v>
          </cell>
          <cell r="E30" t="str">
            <v>[TDH-170]</v>
          </cell>
          <cell r="F30" t="str">
            <v>1/17/3</v>
          </cell>
          <cell r="G30">
            <v>1</v>
          </cell>
          <cell r="H30" t="str">
            <v>⑮ROUND 93*147.5</v>
          </cell>
          <cell r="K30">
            <v>5.2</v>
          </cell>
          <cell r="T30">
            <v>397.02000000000004</v>
          </cell>
          <cell r="U30">
            <v>4119.4399999999996</v>
          </cell>
          <cell r="V30">
            <v>1339.26</v>
          </cell>
          <cell r="W30">
            <v>2986.4160185022447</v>
          </cell>
          <cell r="X30">
            <v>3279.2032000000004</v>
          </cell>
          <cell r="Y30">
            <v>4040.4467999999997</v>
          </cell>
          <cell r="Z30">
            <v>4684.576</v>
          </cell>
          <cell r="AA30">
            <v>5855.7200000000012</v>
          </cell>
          <cell r="AB30">
            <v>4216.1184000000003</v>
          </cell>
          <cell r="AC30">
            <v>6089.948800000001</v>
          </cell>
          <cell r="AD30">
            <v>7553.8788000000013</v>
          </cell>
          <cell r="AE30">
            <v>2927.8600000000006</v>
          </cell>
          <cell r="AF30">
            <v>2459.4024000000004</v>
          </cell>
          <cell r="AG30">
            <v>3864.7752</v>
          </cell>
          <cell r="AH30">
            <v>4684.576</v>
          </cell>
          <cell r="AI30">
            <v>5855.7200000000012</v>
          </cell>
          <cell r="AJ30">
            <v>7670.9931999999999</v>
          </cell>
          <cell r="AK30">
            <v>3044.9744000000005</v>
          </cell>
          <cell r="AL30">
            <v>4626.0188000000007</v>
          </cell>
          <cell r="AM30">
            <v>6148.5060000000012</v>
          </cell>
        </row>
        <row r="31">
          <cell r="D31">
            <v>20</v>
          </cell>
          <cell r="E31" t="str">
            <v>E200-H1</v>
          </cell>
          <cell r="F31" t="str">
            <v>0/30/1</v>
          </cell>
          <cell r="G31">
            <v>1</v>
          </cell>
          <cell r="H31" t="str">
            <v>⑮ROUND 93*147.5</v>
          </cell>
          <cell r="K31">
            <v>6.2</v>
          </cell>
          <cell r="T31">
            <v>0</v>
          </cell>
          <cell r="U31">
            <v>5647.92</v>
          </cell>
          <cell r="V31">
            <v>346.834</v>
          </cell>
          <cell r="W31">
            <v>3057.3242216277395</v>
          </cell>
          <cell r="X31">
            <v>3357.0622400000007</v>
          </cell>
          <cell r="Y31">
            <v>4136.3802599999999</v>
          </cell>
          <cell r="Z31">
            <v>4795.8032000000003</v>
          </cell>
          <cell r="AA31">
            <v>5994.7539999999999</v>
          </cell>
          <cell r="AB31">
            <v>4316.2228799999993</v>
          </cell>
          <cell r="AC31">
            <v>6234.5441600000004</v>
          </cell>
          <cell r="AD31">
            <v>7733.2326600000006</v>
          </cell>
          <cell r="AE31">
            <v>2997.377</v>
          </cell>
          <cell r="AF31">
            <v>2517.7966799999999</v>
          </cell>
          <cell r="AG31">
            <v>3956.5376400000005</v>
          </cell>
          <cell r="AH31">
            <v>4795.8032000000003</v>
          </cell>
          <cell r="AI31">
            <v>5994.7539999999999</v>
          </cell>
          <cell r="AJ31">
            <v>7853.1277400000008</v>
          </cell>
          <cell r="AK31">
            <v>3117.2720800000002</v>
          </cell>
          <cell r="AL31">
            <v>4735.8556600000011</v>
          </cell>
          <cell r="AM31">
            <v>6294.4917000000005</v>
          </cell>
        </row>
        <row r="32">
          <cell r="D32">
            <v>20</v>
          </cell>
          <cell r="E32" t="str">
            <v>E200-A1</v>
          </cell>
          <cell r="F32" t="str">
            <v>0/30/1</v>
          </cell>
          <cell r="G32">
            <v>1</v>
          </cell>
          <cell r="H32" t="str">
            <v>⑮ROUND 93*147.5</v>
          </cell>
          <cell r="K32">
            <v>6.2</v>
          </cell>
          <cell r="T32">
            <v>0</v>
          </cell>
          <cell r="U32">
            <v>5647.92</v>
          </cell>
          <cell r="V32">
            <v>346.834</v>
          </cell>
          <cell r="W32">
            <v>3057.3242216282342</v>
          </cell>
          <cell r="X32">
            <v>3357.0622400000007</v>
          </cell>
          <cell r="Y32">
            <v>4136.3802599999999</v>
          </cell>
          <cell r="Z32">
            <v>4795.8032000000003</v>
          </cell>
          <cell r="AA32">
            <v>5994.7539999999999</v>
          </cell>
          <cell r="AB32">
            <v>4316.2228799999993</v>
          </cell>
          <cell r="AC32">
            <v>6234.5441600000004</v>
          </cell>
          <cell r="AD32">
            <v>7733.2326600000006</v>
          </cell>
          <cell r="AE32">
            <v>2997.377</v>
          </cell>
          <cell r="AF32">
            <v>2517.7966799999999</v>
          </cell>
          <cell r="AG32">
            <v>3956.5376400000005</v>
          </cell>
          <cell r="AH32">
            <v>4795.8032000000003</v>
          </cell>
          <cell r="AI32">
            <v>5994.7539999999999</v>
          </cell>
          <cell r="AJ32">
            <v>7853.1277400000008</v>
          </cell>
          <cell r="AK32">
            <v>3117.2720800000002</v>
          </cell>
          <cell r="AL32">
            <v>4735.8556600000011</v>
          </cell>
          <cell r="AM32">
            <v>6294.4917000000005</v>
          </cell>
        </row>
        <row r="33">
          <cell r="D33">
            <v>21</v>
          </cell>
          <cell r="E33" t="str">
            <v>E230</v>
          </cell>
          <cell r="F33" t="str">
            <v>1/15/2</v>
          </cell>
          <cell r="G33">
            <v>1</v>
          </cell>
          <cell r="H33" t="str">
            <v>⑮ROUND 93*147.5</v>
          </cell>
          <cell r="K33">
            <v>5.2</v>
          </cell>
          <cell r="T33">
            <v>445.54466666666661</v>
          </cell>
          <cell r="U33">
            <v>4079.0533333333337</v>
          </cell>
          <cell r="V33">
            <v>1001.9648888888888</v>
          </cell>
          <cell r="W33">
            <v>2818.5468759713804</v>
          </cell>
          <cell r="X33">
            <v>3094.8750019255494</v>
          </cell>
          <cell r="Y33">
            <v>3813.3283933333332</v>
          </cell>
          <cell r="Z33">
            <v>4421.2503111111109</v>
          </cell>
          <cell r="AA33">
            <v>5526.5628888888896</v>
          </cell>
          <cell r="AB33">
            <v>3979.1252799999997</v>
          </cell>
          <cell r="AC33">
            <v>5747.625404444444</v>
          </cell>
          <cell r="AD33">
            <v>7129.2661266666673</v>
          </cell>
          <cell r="AE33">
            <v>2763.2814444444448</v>
          </cell>
          <cell r="AF33">
            <v>2321.1564133333336</v>
          </cell>
          <cell r="AG33">
            <v>3647.5315066666672</v>
          </cell>
          <cell r="AH33">
            <v>4421.2503111111109</v>
          </cell>
          <cell r="AI33">
            <v>5526.5628888888896</v>
          </cell>
          <cell r="AJ33">
            <v>7239.797384444445</v>
          </cell>
          <cell r="AK33">
            <v>2873.812702222222</v>
          </cell>
          <cell r="AL33">
            <v>4365.9846822222225</v>
          </cell>
          <cell r="AM33">
            <v>5802.8910333333333</v>
          </cell>
        </row>
        <row r="34">
          <cell r="D34">
            <v>22</v>
          </cell>
          <cell r="E34" t="str">
            <v>IEX-607MH</v>
          </cell>
          <cell r="F34" t="str">
            <v>2/35/1</v>
          </cell>
          <cell r="G34">
            <v>1</v>
          </cell>
          <cell r="H34" t="str">
            <v>⑮ROUND 93*147.5</v>
          </cell>
          <cell r="K34">
            <v>6.7</v>
          </cell>
          <cell r="T34">
            <v>543.85310526315789</v>
          </cell>
          <cell r="U34">
            <v>5808.935263157895</v>
          </cell>
          <cell r="V34">
            <v>305.76155263157898</v>
          </cell>
          <cell r="W34">
            <v>3395.8593778793274</v>
          </cell>
          <cell r="X34">
            <v>3728.7879557894739</v>
          </cell>
          <cell r="Y34">
            <v>4594.3994455263146</v>
          </cell>
          <cell r="Z34">
            <v>5326.839936842106</v>
          </cell>
          <cell r="AA34">
            <v>6658.5499210526323</v>
          </cell>
          <cell r="AB34">
            <v>4794.1559431578944</v>
          </cell>
          <cell r="AC34">
            <v>6924.8919178947381</v>
          </cell>
          <cell r="AD34">
            <v>8589.5293981578961</v>
          </cell>
          <cell r="AE34">
            <v>3329.2749605263161</v>
          </cell>
          <cell r="AF34">
            <v>2796.5909668421054</v>
          </cell>
          <cell r="AG34">
            <v>4394.6429478947375</v>
          </cell>
          <cell r="AH34">
            <v>5326.839936842106</v>
          </cell>
          <cell r="AI34">
            <v>6658.5499210526323</v>
          </cell>
          <cell r="AJ34">
            <v>8722.7003965789481</v>
          </cell>
          <cell r="AK34">
            <v>3462.445958947369</v>
          </cell>
          <cell r="AL34">
            <v>5260.2544376315791</v>
          </cell>
          <cell r="AM34">
            <v>6991.4774171052632</v>
          </cell>
        </row>
        <row r="35">
          <cell r="D35">
            <v>23</v>
          </cell>
          <cell r="E35" t="str">
            <v>PZM18457</v>
          </cell>
          <cell r="F35" t="str">
            <v>1/0/0</v>
          </cell>
          <cell r="G35">
            <v>1</v>
          </cell>
          <cell r="H35" t="str">
            <v>⑮ROUND 93*147.5</v>
          </cell>
          <cell r="K35">
            <v>1</v>
          </cell>
          <cell r="T35">
            <v>1542.27</v>
          </cell>
          <cell r="U35">
            <v>0</v>
          </cell>
          <cell r="V35">
            <v>0</v>
          </cell>
          <cell r="W35">
            <v>786.5576179074742</v>
          </cell>
          <cell r="X35">
            <v>863.67120000000011</v>
          </cell>
          <cell r="Y35">
            <v>1064.1662999999999</v>
          </cell>
          <cell r="Z35">
            <v>1233.8160000000003</v>
          </cell>
          <cell r="AA35">
            <v>1542.27</v>
          </cell>
          <cell r="AB35">
            <v>1110.4344000000001</v>
          </cell>
          <cell r="AC35">
            <v>1603.9608000000001</v>
          </cell>
          <cell r="AD35">
            <v>1989.5283000000002</v>
          </cell>
          <cell r="AE35">
            <v>771.13499999999999</v>
          </cell>
          <cell r="AF35">
            <v>647.75340000000006</v>
          </cell>
          <cell r="AG35">
            <v>1017.8982000000001</v>
          </cell>
          <cell r="AH35">
            <v>1233.8160000000003</v>
          </cell>
          <cell r="AI35">
            <v>1542.27</v>
          </cell>
          <cell r="AJ35">
            <v>2020.3737000000001</v>
          </cell>
          <cell r="AK35">
            <v>801.98040000000003</v>
          </cell>
          <cell r="AL35">
            <v>1218.3933000000002</v>
          </cell>
          <cell r="AM35">
            <v>1619.3835000000001</v>
          </cell>
        </row>
        <row r="36">
          <cell r="D36">
            <v>24</v>
          </cell>
          <cell r="E36" t="str">
            <v>DEC-13</v>
          </cell>
          <cell r="F36" t="str">
            <v>1/0/0</v>
          </cell>
          <cell r="G36">
            <v>1</v>
          </cell>
          <cell r="H36" t="str">
            <v>⑮ROUND 93*147.5</v>
          </cell>
          <cell r="K36">
            <v>1.4</v>
          </cell>
          <cell r="T36">
            <v>2159.1779999999999</v>
          </cell>
          <cell r="U36">
            <v>0</v>
          </cell>
          <cell r="V36">
            <v>0</v>
          </cell>
          <cell r="W36">
            <v>1101.1806655026958</v>
          </cell>
          <cell r="X36">
            <v>1209.1396800000002</v>
          </cell>
          <cell r="Y36">
            <v>1489.8328199999999</v>
          </cell>
          <cell r="Z36">
            <v>1727.3423999999998</v>
          </cell>
          <cell r="AA36">
            <v>2159.1779999999999</v>
          </cell>
          <cell r="AB36">
            <v>1554.6081600000002</v>
          </cell>
          <cell r="AC36">
            <v>2245.5451199999998</v>
          </cell>
          <cell r="AD36">
            <v>2785.3396199999997</v>
          </cell>
          <cell r="AE36">
            <v>1079.5889999999999</v>
          </cell>
          <cell r="AF36">
            <v>906.85475999999994</v>
          </cell>
          <cell r="AG36">
            <v>1425.0574799999999</v>
          </cell>
          <cell r="AH36">
            <v>1727.3423999999998</v>
          </cell>
          <cell r="AI36">
            <v>2159.1779999999999</v>
          </cell>
          <cell r="AJ36">
            <v>2828.5231799999997</v>
          </cell>
          <cell r="AK36">
            <v>1122.7725599999999</v>
          </cell>
          <cell r="AL36">
            <v>1705.7506199999998</v>
          </cell>
          <cell r="AM36">
            <v>2267.1369</v>
          </cell>
        </row>
        <row r="37">
          <cell r="D37">
            <v>25</v>
          </cell>
          <cell r="E37" t="str">
            <v>TDH-98(改)</v>
          </cell>
          <cell r="F37" t="str">
            <v>1/14/2</v>
          </cell>
          <cell r="G37">
            <v>1</v>
          </cell>
          <cell r="H37" t="str">
            <v>⑮ROUND 93*147.5</v>
          </cell>
          <cell r="K37">
            <v>8.1999999999999993</v>
          </cell>
          <cell r="T37">
            <v>773.38058823529411</v>
          </cell>
          <cell r="U37">
            <v>6608.4282352941173</v>
          </cell>
          <cell r="V37">
            <v>1739.22</v>
          </cell>
          <cell r="W37">
            <v>4651.7226620117726</v>
          </cell>
          <cell r="X37">
            <v>5107.7761411764704</v>
          </cell>
          <cell r="Y37">
            <v>6293.5098882352941</v>
          </cell>
          <cell r="Z37">
            <v>7296.8230588235292</v>
          </cell>
          <cell r="AA37">
            <v>9121.028823529412</v>
          </cell>
          <cell r="AB37">
            <v>6567.1407529411754</v>
          </cell>
          <cell r="AC37">
            <v>9485.8699764705871</v>
          </cell>
          <cell r="AD37">
            <v>11766.127182352941</v>
          </cell>
          <cell r="AE37">
            <v>4560.514411764706</v>
          </cell>
          <cell r="AF37">
            <v>3830.8321058823522</v>
          </cell>
          <cell r="AG37">
            <v>6019.8790235294118</v>
          </cell>
          <cell r="AH37">
            <v>7296.8230588235292</v>
          </cell>
          <cell r="AI37">
            <v>9121.028823529412</v>
          </cell>
          <cell r="AJ37">
            <v>11948.54775882353</v>
          </cell>
          <cell r="AK37">
            <v>4742.9349882352935</v>
          </cell>
          <cell r="AL37">
            <v>7205.6127705882345</v>
          </cell>
          <cell r="AM37">
            <v>9577.0802647058827</v>
          </cell>
        </row>
        <row r="38">
          <cell r="D38">
            <v>26</v>
          </cell>
          <cell r="E38" t="str">
            <v>TDH134(改)</v>
          </cell>
          <cell r="F38" t="str">
            <v>1/17/3</v>
          </cell>
          <cell r="G38">
            <v>1</v>
          </cell>
          <cell r="H38" t="str">
            <v>⑮ROUND 93*147.5</v>
          </cell>
          <cell r="K38">
            <v>7</v>
          </cell>
          <cell r="T38">
            <v>534.44999999999993</v>
          </cell>
          <cell r="U38">
            <v>5545.4000000000005</v>
          </cell>
          <cell r="V38">
            <v>1802.8500000000001</v>
          </cell>
          <cell r="W38">
            <v>4020.1757841313811</v>
          </cell>
          <cell r="X38">
            <v>4414.3120000000008</v>
          </cell>
          <cell r="Y38">
            <v>5439.0630000000001</v>
          </cell>
          <cell r="Z38">
            <v>6306.1600000000017</v>
          </cell>
          <cell r="AA38">
            <v>7882.7000000000007</v>
          </cell>
          <cell r="AB38">
            <v>5675.5439999999999</v>
          </cell>
          <cell r="AC38">
            <v>8198.0080000000016</v>
          </cell>
          <cell r="AD38">
            <v>10168.683000000001</v>
          </cell>
          <cell r="AE38">
            <v>3941.3500000000004</v>
          </cell>
          <cell r="AF38">
            <v>3310.7339999999999</v>
          </cell>
          <cell r="AG38">
            <v>5202.5820000000003</v>
          </cell>
          <cell r="AH38">
            <v>6306.1600000000017</v>
          </cell>
          <cell r="AI38">
            <v>7882.7000000000007</v>
          </cell>
          <cell r="AJ38">
            <v>10326.337000000001</v>
          </cell>
          <cell r="AK38">
            <v>4099.0040000000008</v>
          </cell>
          <cell r="AL38">
            <v>6227.3330000000005</v>
          </cell>
          <cell r="AM38">
            <v>8276.8350000000009</v>
          </cell>
        </row>
        <row r="39">
          <cell r="D39">
            <v>27</v>
          </cell>
          <cell r="E39" t="str">
            <v>HOSC-HBA</v>
          </cell>
          <cell r="F39" t="str">
            <v>5/0/1</v>
          </cell>
          <cell r="G39">
            <v>1</v>
          </cell>
          <cell r="H39" t="str">
            <v>⑮ROUND 93*147.5</v>
          </cell>
          <cell r="K39">
            <v>1.3</v>
          </cell>
          <cell r="T39">
            <v>1670.7925</v>
          </cell>
          <cell r="U39">
            <v>0</v>
          </cell>
          <cell r="V39">
            <v>375.73683333333338</v>
          </cell>
          <cell r="W39">
            <v>1043.7294936284379</v>
          </cell>
          <cell r="X39">
            <v>1146.056426666667</v>
          </cell>
          <cell r="Y39">
            <v>1412.1052399999999</v>
          </cell>
          <cell r="Z39">
            <v>1637.2234666666668</v>
          </cell>
          <cell r="AA39">
            <v>2046.5293333333336</v>
          </cell>
          <cell r="AB39">
            <v>1473.5011199999999</v>
          </cell>
          <cell r="AC39">
            <v>2128.3905066666666</v>
          </cell>
          <cell r="AD39">
            <v>2640.0228400000001</v>
          </cell>
          <cell r="AE39">
            <v>1023.2646666666668</v>
          </cell>
          <cell r="AF39">
            <v>859.54232000000002</v>
          </cell>
          <cell r="AG39">
            <v>1350.7093600000001</v>
          </cell>
          <cell r="AH39">
            <v>1637.2234666666668</v>
          </cell>
          <cell r="AI39">
            <v>2046.5293333333336</v>
          </cell>
          <cell r="AJ39">
            <v>2680.9534266666665</v>
          </cell>
          <cell r="AK39">
            <v>1064.1952533333333</v>
          </cell>
          <cell r="AL39">
            <v>1616.7581733333336</v>
          </cell>
          <cell r="AM39">
            <v>2148.8558000000003</v>
          </cell>
        </row>
        <row r="40">
          <cell r="D40">
            <v>28</v>
          </cell>
          <cell r="T40">
            <v>0</v>
          </cell>
          <cell r="U40">
            <v>0</v>
          </cell>
          <cell r="V40">
            <v>0</v>
          </cell>
        </row>
        <row r="41">
          <cell r="D41">
            <v>29</v>
          </cell>
          <cell r="E41" t="str">
            <v>TRM810
[TDH-170]</v>
          </cell>
          <cell r="F41" t="str">
            <v>1/17/3</v>
          </cell>
          <cell r="G41">
            <v>1</v>
          </cell>
          <cell r="H41" t="str">
            <v>⑮ROUND 93*147.5</v>
          </cell>
          <cell r="K41">
            <v>5.2</v>
          </cell>
          <cell r="T41">
            <v>397.02000000000004</v>
          </cell>
          <cell r="U41">
            <v>4119.4399999999996</v>
          </cell>
          <cell r="V41">
            <v>1339.26</v>
          </cell>
          <cell r="W41">
            <v>2986.416016600022</v>
          </cell>
          <cell r="X41">
            <v>3279.2031269291911</v>
          </cell>
          <cell r="Y41">
            <v>4040.4467999999997</v>
          </cell>
          <cell r="Z41">
            <v>4684.576</v>
          </cell>
          <cell r="AA41">
            <v>5855.7200000000012</v>
          </cell>
          <cell r="AB41">
            <v>4216.1184000000003</v>
          </cell>
          <cell r="AC41">
            <v>6089.948800000001</v>
          </cell>
          <cell r="AD41">
            <v>7553.8788000000013</v>
          </cell>
          <cell r="AE41">
            <v>2927.8600000000006</v>
          </cell>
          <cell r="AF41">
            <v>2459.4024000000004</v>
          </cell>
          <cell r="AG41">
            <v>3864.7752</v>
          </cell>
          <cell r="AH41">
            <v>4684.576</v>
          </cell>
          <cell r="AI41">
            <v>5855.7200000000012</v>
          </cell>
          <cell r="AJ41">
            <v>7670.9931999999999</v>
          </cell>
          <cell r="AK41">
            <v>3044.9744000000005</v>
          </cell>
          <cell r="AL41">
            <v>4626.0188000000007</v>
          </cell>
          <cell r="AM41">
            <v>6148.5060000000012</v>
          </cell>
        </row>
      </sheetData>
      <sheetData sheetId="9" refreshError="1">
        <row r="7">
          <cell r="M7" t="str">
            <v>6/400ｾﾙ</v>
          </cell>
          <cell r="N7" t="str">
            <v>4/600ｾﾙ</v>
          </cell>
          <cell r="O7" t="str">
            <v>2/900ｾﾙ</v>
          </cell>
        </row>
        <row r="10">
          <cell r="U10" t="str">
            <v>JM166</v>
          </cell>
          <cell r="V10" t="str">
            <v>IEX-607MH</v>
          </cell>
          <cell r="W10" t="str">
            <v>E10</v>
          </cell>
          <cell r="X10" t="str">
            <v>E35</v>
          </cell>
          <cell r="Y10" t="str">
            <v>E35-H2</v>
          </cell>
          <cell r="Z10" t="str">
            <v>E35-H1</v>
          </cell>
          <cell r="AA10" t="str">
            <v>E95</v>
          </cell>
          <cell r="AB10" t="str">
            <v>E95-H1</v>
          </cell>
          <cell r="AC10" t="str">
            <v>E165-A1</v>
          </cell>
          <cell r="AD10" t="str">
            <v>E50</v>
          </cell>
          <cell r="AE10" t="str">
            <v>E60</v>
          </cell>
          <cell r="AF10" t="str">
            <v>E60-HT1</v>
          </cell>
          <cell r="AG10" t="str">
            <v>E60-HT1
(1.3 g/L)</v>
          </cell>
          <cell r="AH10" t="str">
            <v>E60-HT1
(1.6 g/L)</v>
          </cell>
          <cell r="AI10" t="str">
            <v>E60-HT</v>
          </cell>
          <cell r="AJ10" t="str">
            <v>E60-HT
(1.3 g/L)</v>
          </cell>
          <cell r="AK10" t="str">
            <v>E60-HT
(1.6 g/L)</v>
          </cell>
          <cell r="AL10" t="str">
            <v>E135-A2</v>
          </cell>
          <cell r="AM10" t="str">
            <v>E135-H2</v>
          </cell>
          <cell r="AN10" t="str">
            <v>E130-A2</v>
          </cell>
          <cell r="AO10" t="str">
            <v>E130-A2
(1.6 g/L)</v>
          </cell>
          <cell r="AP10" t="str">
            <v>E130-H2
(1.2 g/L)</v>
          </cell>
          <cell r="AQ10" t="str">
            <v>E130-H2
(2.0 g/L)</v>
          </cell>
          <cell r="AR10" t="str">
            <v>E130-H2</v>
          </cell>
          <cell r="AS10" t="str">
            <v>E130-H1</v>
          </cell>
          <cell r="AT10" t="str">
            <v>E130</v>
          </cell>
          <cell r="AU10" t="str">
            <v>GEX-415D</v>
          </cell>
          <cell r="AV10" t="str">
            <v>TRM710
[TDH-134]</v>
          </cell>
          <cell r="AW10" t="str">
            <v>TRM720
[TDH-98]</v>
          </cell>
          <cell r="AX10" t="str">
            <v>TRM730
[TDH-77]</v>
          </cell>
          <cell r="AY10" t="str">
            <v>E200-A1</v>
          </cell>
          <cell r="AZ10" t="str">
            <v>E200-H1</v>
          </cell>
          <cell r="BA10" t="str">
            <v>PZM18457</v>
          </cell>
          <cell r="BB10" t="str">
            <v>DEC-13</v>
          </cell>
          <cell r="BC10" t="str">
            <v>TRM420N</v>
          </cell>
          <cell r="BD10" t="str">
            <v>TRM422N</v>
          </cell>
          <cell r="BE10" t="str">
            <v>Pd-8-3</v>
          </cell>
          <cell r="BF10" t="str">
            <v>TDH-98(改)</v>
          </cell>
          <cell r="BG10" t="str">
            <v>TDH134(改)</v>
          </cell>
          <cell r="BH10" t="str">
            <v>HOSC-HBA</v>
          </cell>
          <cell r="BI10" t="str">
            <v>E230</v>
          </cell>
          <cell r="BJ10" t="str">
            <v>TRM810
[TDH-170]</v>
          </cell>
          <cell r="BK10" t="str">
            <v>[TDH-170]</v>
          </cell>
          <cell r="BR10" t="str">
            <v>JM166</v>
          </cell>
          <cell r="BS10" t="str">
            <v>IEX-607MH</v>
          </cell>
          <cell r="BT10" t="str">
            <v>E95-H1</v>
          </cell>
          <cell r="BU10" t="str">
            <v>E60-HT1
(1.3 g/L)</v>
          </cell>
          <cell r="BV10" t="str">
            <v>E60-HT1
(1.6 g/L)</v>
          </cell>
          <cell r="BW10" t="str">
            <v>E60-HT
(1.3 g/L)</v>
          </cell>
          <cell r="BX10" t="str">
            <v>E60-HT
(1.6 g/L)</v>
          </cell>
          <cell r="BY10" t="str">
            <v>E135-A2</v>
          </cell>
          <cell r="BZ10" t="str">
            <v>E130-A2</v>
          </cell>
          <cell r="CA10" t="str">
            <v>E130-A2
(1.6 g/L)</v>
          </cell>
          <cell r="CB10" t="str">
            <v>E130-H2
(1.2 g/L)</v>
          </cell>
          <cell r="CC10" t="str">
            <v>E130-H2
(2.0 g/L)</v>
          </cell>
          <cell r="CD10" t="str">
            <v>E130-H1</v>
          </cell>
          <cell r="CE10" t="str">
            <v>E130</v>
          </cell>
          <cell r="CF10" t="str">
            <v>GEX-415D</v>
          </cell>
          <cell r="CG10" t="str">
            <v>TRM710
[TDH-134]</v>
          </cell>
          <cell r="CH10" t="str">
            <v>TRM720
[TDH-98]</v>
          </cell>
          <cell r="CI10" t="str">
            <v>TRM730
[TDH-77]</v>
          </cell>
          <cell r="CJ10" t="str">
            <v>E200-A1</v>
          </cell>
          <cell r="CK10" t="str">
            <v>E200-H1</v>
          </cell>
          <cell r="CL10" t="str">
            <v>E230</v>
          </cell>
          <cell r="CM10" t="str">
            <v>TRM810
[TDH-170]</v>
          </cell>
          <cell r="CN10" t="str">
            <v>[TDH-170]</v>
          </cell>
        </row>
        <row r="11">
          <cell r="E11">
            <v>0.5</v>
          </cell>
          <cell r="M11">
            <v>521.6793452545943</v>
          </cell>
          <cell r="N11">
            <v>626.01521430551315</v>
          </cell>
          <cell r="O11">
            <v>626.01521430551315</v>
          </cell>
          <cell r="U11">
            <v>624.5</v>
          </cell>
          <cell r="V11">
            <v>1428.5</v>
          </cell>
          <cell r="W11" t="str">
            <v>未</v>
          </cell>
          <cell r="X11" t="str">
            <v>未</v>
          </cell>
          <cell r="Y11" t="str">
            <v>未</v>
          </cell>
          <cell r="Z11" t="str">
            <v>未</v>
          </cell>
          <cell r="AA11" t="str">
            <v>未</v>
          </cell>
          <cell r="AB11">
            <v>793.5</v>
          </cell>
          <cell r="AC11" t="str">
            <v>未</v>
          </cell>
          <cell r="AD11" t="str">
            <v>未</v>
          </cell>
          <cell r="AE11">
            <v>892</v>
          </cell>
          <cell r="AF11">
            <v>870.5</v>
          </cell>
          <cell r="AG11">
            <v>912</v>
          </cell>
          <cell r="AH11">
            <v>816.5</v>
          </cell>
          <cell r="AI11">
            <v>799.5</v>
          </cell>
          <cell r="AJ11">
            <v>830.5</v>
          </cell>
          <cell r="AK11">
            <v>760.5</v>
          </cell>
          <cell r="AL11">
            <v>1340</v>
          </cell>
          <cell r="AM11">
            <v>677.5</v>
          </cell>
          <cell r="AN11">
            <v>1059</v>
          </cell>
          <cell r="AO11">
            <v>1059</v>
          </cell>
          <cell r="AP11">
            <v>1148</v>
          </cell>
          <cell r="AQ11">
            <v>1175</v>
          </cell>
          <cell r="AR11">
            <v>1175</v>
          </cell>
          <cell r="AS11">
            <v>1043</v>
          </cell>
          <cell r="AT11">
            <v>1080</v>
          </cell>
          <cell r="AU11">
            <v>1090</v>
          </cell>
          <cell r="AV11">
            <v>664.5</v>
          </cell>
          <cell r="AW11">
            <v>677.5</v>
          </cell>
          <cell r="AX11">
            <v>677.5</v>
          </cell>
          <cell r="AY11">
            <v>1446</v>
          </cell>
          <cell r="AZ11">
            <v>1446</v>
          </cell>
          <cell r="BA11" t="str">
            <v>未</v>
          </cell>
          <cell r="BB11" t="str">
            <v>未</v>
          </cell>
          <cell r="BC11" t="str">
            <v>未</v>
          </cell>
          <cell r="BD11" t="str">
            <v>未</v>
          </cell>
          <cell r="BE11" t="str">
            <v>未</v>
          </cell>
          <cell r="BF11">
            <v>677.5</v>
          </cell>
          <cell r="BG11">
            <v>677.5</v>
          </cell>
          <cell r="BH11" t="str">
            <v>未</v>
          </cell>
          <cell r="BI11">
            <v>1446</v>
          </cell>
          <cell r="BJ11">
            <v>677.5</v>
          </cell>
          <cell r="BK11">
            <v>677.5</v>
          </cell>
          <cell r="BL11">
            <v>624.5</v>
          </cell>
          <cell r="BM11">
            <v>1340</v>
          </cell>
          <cell r="BR11">
            <v>843.07500000000005</v>
          </cell>
          <cell r="BS11">
            <v>1928.4750000000001</v>
          </cell>
          <cell r="BT11">
            <v>1071.2250000000001</v>
          </cell>
          <cell r="BU11">
            <v>1231.2</v>
          </cell>
          <cell r="BV11">
            <v>1102.2750000000001</v>
          </cell>
          <cell r="BW11">
            <v>1121.1750000000002</v>
          </cell>
          <cell r="BX11">
            <v>1026.675</v>
          </cell>
          <cell r="BY11">
            <v>1809.0000000000002</v>
          </cell>
          <cell r="BZ11">
            <v>1429.65</v>
          </cell>
          <cell r="CA11">
            <v>1429.65</v>
          </cell>
          <cell r="CB11">
            <v>1549.8000000000002</v>
          </cell>
          <cell r="CC11">
            <v>1586.25</v>
          </cell>
          <cell r="CD11">
            <v>1408.0500000000002</v>
          </cell>
          <cell r="CE11">
            <v>1458</v>
          </cell>
          <cell r="CF11">
            <v>1471.5</v>
          </cell>
          <cell r="CG11">
            <v>897.07500000000005</v>
          </cell>
          <cell r="CH11">
            <v>914.62500000000011</v>
          </cell>
          <cell r="CI11">
            <v>914.62500000000011</v>
          </cell>
          <cell r="CJ11">
            <v>1662.8999999999999</v>
          </cell>
          <cell r="CK11">
            <v>1662.8999999999999</v>
          </cell>
          <cell r="CL11">
            <v>1662.8999999999999</v>
          </cell>
          <cell r="CM11">
            <v>914.62500000000011</v>
          </cell>
          <cell r="CN11">
            <v>914.62500000000011</v>
          </cell>
        </row>
        <row r="12">
          <cell r="E12">
            <v>0.8</v>
          </cell>
          <cell r="M12">
            <v>776.87494686446712</v>
          </cell>
          <cell r="N12">
            <v>932.24993623736054</v>
          </cell>
          <cell r="O12">
            <v>932.24993623736054</v>
          </cell>
          <cell r="U12">
            <v>827.6</v>
          </cell>
          <cell r="V12">
            <v>1820.6000000000001</v>
          </cell>
          <cell r="W12" t="str">
            <v>未</v>
          </cell>
          <cell r="X12" t="str">
            <v>未</v>
          </cell>
          <cell r="Y12" t="str">
            <v>未</v>
          </cell>
          <cell r="Z12" t="str">
            <v>未</v>
          </cell>
          <cell r="AA12" t="str">
            <v>未</v>
          </cell>
          <cell r="AB12">
            <v>988.2</v>
          </cell>
          <cell r="AC12" t="str">
            <v>未</v>
          </cell>
          <cell r="AD12" t="str">
            <v>未</v>
          </cell>
          <cell r="AE12">
            <v>976</v>
          </cell>
          <cell r="AF12">
            <v>982.40000000000009</v>
          </cell>
          <cell r="AG12">
            <v>993.6</v>
          </cell>
          <cell r="AH12">
            <v>1015.4</v>
          </cell>
          <cell r="AI12">
            <v>943.8</v>
          </cell>
          <cell r="AJ12">
            <v>976.6</v>
          </cell>
          <cell r="AK12">
            <v>905.40000000000009</v>
          </cell>
          <cell r="AL12">
            <v>1584.8000000000002</v>
          </cell>
          <cell r="AM12">
            <v>901.6</v>
          </cell>
          <cell r="AN12">
            <v>1216.8</v>
          </cell>
          <cell r="AO12">
            <v>1216.8</v>
          </cell>
          <cell r="AP12">
            <v>1281.2</v>
          </cell>
          <cell r="AQ12">
            <v>1310</v>
          </cell>
          <cell r="AR12">
            <v>1310</v>
          </cell>
          <cell r="AS12">
            <v>1127.5999999999999</v>
          </cell>
          <cell r="AT12">
            <v>1222.2</v>
          </cell>
          <cell r="AU12">
            <v>1240.5999999999999</v>
          </cell>
          <cell r="AV12">
            <v>885.6</v>
          </cell>
          <cell r="AW12">
            <v>901.6</v>
          </cell>
          <cell r="AX12">
            <v>901.6</v>
          </cell>
          <cell r="AY12">
            <v>1573.2</v>
          </cell>
          <cell r="AZ12">
            <v>1573.2</v>
          </cell>
          <cell r="BA12" t="str">
            <v>未</v>
          </cell>
          <cell r="BB12" t="str">
            <v>未</v>
          </cell>
          <cell r="BC12" t="str">
            <v>未</v>
          </cell>
          <cell r="BD12" t="str">
            <v>未</v>
          </cell>
          <cell r="BE12" t="str">
            <v>未</v>
          </cell>
          <cell r="BF12">
            <v>901.6</v>
          </cell>
          <cell r="BG12">
            <v>901.6</v>
          </cell>
          <cell r="BH12" t="str">
            <v>未</v>
          </cell>
          <cell r="BI12">
            <v>1573.2</v>
          </cell>
          <cell r="BJ12">
            <v>901.6</v>
          </cell>
          <cell r="BK12">
            <v>901.6</v>
          </cell>
          <cell r="BL12">
            <v>827.6</v>
          </cell>
          <cell r="BM12">
            <v>1584.8000000000002</v>
          </cell>
          <cell r="BR12">
            <v>1117.26</v>
          </cell>
          <cell r="BS12">
            <v>2457.8100000000004</v>
          </cell>
          <cell r="BT12">
            <v>1334.0700000000002</v>
          </cell>
          <cell r="BU12">
            <v>1341.3600000000001</v>
          </cell>
          <cell r="BV12">
            <v>1370.79</v>
          </cell>
          <cell r="BW12">
            <v>1318.41</v>
          </cell>
          <cell r="BX12">
            <v>1222.2900000000002</v>
          </cell>
          <cell r="BY12">
            <v>2139.4800000000005</v>
          </cell>
          <cell r="BZ12">
            <v>1642.68</v>
          </cell>
          <cell r="CA12">
            <v>1642.68</v>
          </cell>
          <cell r="CB12">
            <v>1729.6200000000001</v>
          </cell>
          <cell r="CC12">
            <v>1768.5000000000002</v>
          </cell>
          <cell r="CD12">
            <v>1522.26</v>
          </cell>
          <cell r="CE12">
            <v>1649.9700000000003</v>
          </cell>
          <cell r="CF12">
            <v>1674.81</v>
          </cell>
          <cell r="CG12">
            <v>1195.5600000000002</v>
          </cell>
          <cell r="CH12">
            <v>1217.1600000000001</v>
          </cell>
          <cell r="CI12">
            <v>1217.1600000000001</v>
          </cell>
          <cell r="CJ12">
            <v>1809.1799999999998</v>
          </cell>
          <cell r="CK12">
            <v>1809.1799999999998</v>
          </cell>
          <cell r="CL12">
            <v>1809.1799999999998</v>
          </cell>
          <cell r="CM12">
            <v>1217.1600000000001</v>
          </cell>
          <cell r="CN12">
            <v>1217.1600000000001</v>
          </cell>
        </row>
        <row r="13">
          <cell r="E13">
            <v>1</v>
          </cell>
          <cell r="M13">
            <v>947.00534793771556</v>
          </cell>
          <cell r="N13">
            <v>1136.4064175252586</v>
          </cell>
          <cell r="O13">
            <v>1136.4064175252586</v>
          </cell>
          <cell r="U13">
            <v>963</v>
          </cell>
          <cell r="V13">
            <v>2082</v>
          </cell>
          <cell r="W13" t="str">
            <v>未</v>
          </cell>
          <cell r="X13" t="str">
            <v>未</v>
          </cell>
          <cell r="Y13" t="str">
            <v>未</v>
          </cell>
          <cell r="Z13" t="str">
            <v>未</v>
          </cell>
          <cell r="AA13" t="str">
            <v>未</v>
          </cell>
          <cell r="AB13">
            <v>1118</v>
          </cell>
          <cell r="AC13" t="str">
            <v>未</v>
          </cell>
          <cell r="AD13" t="str">
            <v>未</v>
          </cell>
          <cell r="AE13">
            <v>1032</v>
          </cell>
          <cell r="AF13">
            <v>1057</v>
          </cell>
          <cell r="AG13">
            <v>1048</v>
          </cell>
          <cell r="AH13">
            <v>1148</v>
          </cell>
          <cell r="AI13">
            <v>1040</v>
          </cell>
          <cell r="AJ13">
            <v>1074</v>
          </cell>
          <cell r="AK13">
            <v>1002</v>
          </cell>
          <cell r="AL13">
            <v>1748</v>
          </cell>
          <cell r="AM13">
            <v>1051</v>
          </cell>
          <cell r="AN13">
            <v>1322</v>
          </cell>
          <cell r="AO13">
            <v>1322</v>
          </cell>
          <cell r="AP13">
            <v>1370</v>
          </cell>
          <cell r="AQ13">
            <v>1400</v>
          </cell>
          <cell r="AR13">
            <v>1400</v>
          </cell>
          <cell r="AS13">
            <v>1184</v>
          </cell>
          <cell r="AT13">
            <v>1317</v>
          </cell>
          <cell r="AU13">
            <v>1341</v>
          </cell>
          <cell r="AV13">
            <v>1033</v>
          </cell>
          <cell r="AW13">
            <v>1051</v>
          </cell>
          <cell r="AX13">
            <v>1051</v>
          </cell>
          <cell r="AY13">
            <v>1658</v>
          </cell>
          <cell r="AZ13">
            <v>1658</v>
          </cell>
          <cell r="BA13" t="str">
            <v>未</v>
          </cell>
          <cell r="BB13" t="str">
            <v>未</v>
          </cell>
          <cell r="BC13" t="str">
            <v>未</v>
          </cell>
          <cell r="BD13" t="str">
            <v>未</v>
          </cell>
          <cell r="BE13" t="str">
            <v>未</v>
          </cell>
          <cell r="BF13">
            <v>1051</v>
          </cell>
          <cell r="BG13">
            <v>1051</v>
          </cell>
          <cell r="BH13" t="str">
            <v>未</v>
          </cell>
          <cell r="BI13">
            <v>1658</v>
          </cell>
          <cell r="BJ13">
            <v>1051</v>
          </cell>
          <cell r="BK13">
            <v>1051</v>
          </cell>
          <cell r="BL13">
            <v>963</v>
          </cell>
          <cell r="BM13">
            <v>1748</v>
          </cell>
          <cell r="BR13">
            <v>1300.0500000000002</v>
          </cell>
          <cell r="BS13">
            <v>2810.7000000000003</v>
          </cell>
          <cell r="BT13">
            <v>1509.3000000000002</v>
          </cell>
          <cell r="BU13">
            <v>1414.8000000000002</v>
          </cell>
          <cell r="BV13">
            <v>1549.8000000000002</v>
          </cell>
          <cell r="BW13">
            <v>1449.9</v>
          </cell>
          <cell r="BX13">
            <v>1352.7</v>
          </cell>
          <cell r="BY13">
            <v>2359.8000000000002</v>
          </cell>
          <cell r="BZ13">
            <v>1784.7</v>
          </cell>
          <cell r="CA13">
            <v>1784.7</v>
          </cell>
          <cell r="CB13">
            <v>1849.5000000000002</v>
          </cell>
          <cell r="CC13">
            <v>1890.0000000000002</v>
          </cell>
          <cell r="CD13">
            <v>1598.4</v>
          </cell>
          <cell r="CE13">
            <v>1777.95</v>
          </cell>
          <cell r="CF13">
            <v>1810.3500000000001</v>
          </cell>
          <cell r="CG13">
            <v>1394.5500000000002</v>
          </cell>
          <cell r="CH13">
            <v>1418.8500000000001</v>
          </cell>
          <cell r="CI13">
            <v>1418.8500000000001</v>
          </cell>
          <cell r="CJ13">
            <v>1906.6999999999998</v>
          </cell>
          <cell r="CK13">
            <v>1906.6999999999998</v>
          </cell>
          <cell r="CL13">
            <v>1906.6999999999998</v>
          </cell>
          <cell r="CM13">
            <v>1418.8500000000001</v>
          </cell>
          <cell r="CN13">
            <v>1418.8500000000001</v>
          </cell>
        </row>
        <row r="14">
          <cell r="E14">
            <v>1.31</v>
          </cell>
          <cell r="M14">
            <v>1210.707469601251</v>
          </cell>
          <cell r="N14">
            <v>1452.8489635215012</v>
          </cell>
          <cell r="O14">
            <v>1452.8489635215012</v>
          </cell>
          <cell r="U14">
            <v>1172.8699999999999</v>
          </cell>
          <cell r="V14">
            <v>2487.17</v>
          </cell>
          <cell r="W14" t="str">
            <v>未</v>
          </cell>
          <cell r="X14" t="str">
            <v>未</v>
          </cell>
          <cell r="Y14" t="str">
            <v>未</v>
          </cell>
          <cell r="Z14" t="str">
            <v>未</v>
          </cell>
          <cell r="AA14" t="str">
            <v>未</v>
          </cell>
          <cell r="AB14">
            <v>1319.19</v>
          </cell>
          <cell r="AC14" t="str">
            <v>未</v>
          </cell>
          <cell r="AD14" t="str">
            <v>未</v>
          </cell>
          <cell r="AE14">
            <v>1118.8</v>
          </cell>
          <cell r="AF14">
            <v>1172.6300000000001</v>
          </cell>
          <cell r="AG14">
            <v>1132.32</v>
          </cell>
          <cell r="AH14">
            <v>1353.5300000000002</v>
          </cell>
          <cell r="AI14">
            <v>1189.1100000000001</v>
          </cell>
          <cell r="AJ14">
            <v>1224.97</v>
          </cell>
          <cell r="AK14">
            <v>1151.73</v>
          </cell>
          <cell r="AL14">
            <v>2000.96</v>
          </cell>
          <cell r="AM14">
            <v>1282.5700000000002</v>
          </cell>
          <cell r="AN14">
            <v>1485.06</v>
          </cell>
          <cell r="AO14">
            <v>1485.06</v>
          </cell>
          <cell r="AP14">
            <v>1507.6399999999999</v>
          </cell>
          <cell r="AQ14">
            <v>1539.5</v>
          </cell>
          <cell r="AR14">
            <v>1539.5</v>
          </cell>
          <cell r="AS14">
            <v>1271.42</v>
          </cell>
          <cell r="AT14">
            <v>1463.94</v>
          </cell>
          <cell r="AU14">
            <v>1496.62</v>
          </cell>
          <cell r="AV14">
            <v>1261.47</v>
          </cell>
          <cell r="AW14">
            <v>1282.5700000000002</v>
          </cell>
          <cell r="AX14">
            <v>1282.5700000000002</v>
          </cell>
          <cell r="AY14">
            <v>1789.44</v>
          </cell>
          <cell r="AZ14">
            <v>1789.44</v>
          </cell>
          <cell r="BA14" t="str">
            <v>未</v>
          </cell>
          <cell r="BB14" t="str">
            <v>未</v>
          </cell>
          <cell r="BC14" t="str">
            <v>未</v>
          </cell>
          <cell r="BD14" t="str">
            <v>未</v>
          </cell>
          <cell r="BE14" t="str">
            <v>未</v>
          </cell>
          <cell r="BF14">
            <v>1282.5700000000002</v>
          </cell>
          <cell r="BG14">
            <v>1282.5700000000002</v>
          </cell>
          <cell r="BH14" t="str">
            <v>未</v>
          </cell>
          <cell r="BI14">
            <v>1789.44</v>
          </cell>
          <cell r="BJ14">
            <v>1282.5700000000002</v>
          </cell>
          <cell r="BK14">
            <v>1282.5700000000002</v>
          </cell>
          <cell r="BL14">
            <v>1172.8699999999999</v>
          </cell>
          <cell r="BM14">
            <v>2000.96</v>
          </cell>
          <cell r="BR14">
            <v>1583.3744999999999</v>
          </cell>
          <cell r="BS14">
            <v>3357.6795000000002</v>
          </cell>
          <cell r="BT14">
            <v>1780.9065000000003</v>
          </cell>
          <cell r="BU14">
            <v>1528.6320000000001</v>
          </cell>
          <cell r="BV14">
            <v>1827.2655000000004</v>
          </cell>
          <cell r="BW14">
            <v>1653.7095000000002</v>
          </cell>
          <cell r="BX14">
            <v>1554.8355000000001</v>
          </cell>
          <cell r="BY14">
            <v>2701.2960000000003</v>
          </cell>
          <cell r="BZ14">
            <v>2004.8310000000001</v>
          </cell>
          <cell r="CA14">
            <v>2004.8310000000001</v>
          </cell>
          <cell r="CB14">
            <v>2035.3139999999999</v>
          </cell>
          <cell r="CC14">
            <v>2078.3250000000003</v>
          </cell>
          <cell r="CD14">
            <v>1716.4170000000001</v>
          </cell>
          <cell r="CE14">
            <v>1976.3190000000002</v>
          </cell>
          <cell r="CF14">
            <v>2020.4369999999999</v>
          </cell>
          <cell r="CG14">
            <v>1702.9845000000003</v>
          </cell>
          <cell r="CH14">
            <v>1731.4695000000004</v>
          </cell>
          <cell r="CI14">
            <v>1731.4695000000004</v>
          </cell>
          <cell r="CJ14">
            <v>2057.8559999999998</v>
          </cell>
          <cell r="CK14">
            <v>2057.8559999999998</v>
          </cell>
          <cell r="CL14">
            <v>2057.8559999999998</v>
          </cell>
          <cell r="CM14">
            <v>1731.4695000000004</v>
          </cell>
          <cell r="CN14">
            <v>1731.4695000000004</v>
          </cell>
        </row>
        <row r="15">
          <cell r="E15">
            <v>0.52</v>
          </cell>
          <cell r="M15">
            <v>538.69238536191915</v>
          </cell>
          <cell r="N15">
            <v>646.43086243430298</v>
          </cell>
          <cell r="O15">
            <v>646.43086243430298</v>
          </cell>
          <cell r="U15">
            <v>638.04</v>
          </cell>
          <cell r="V15">
            <v>1454.6399999999999</v>
          </cell>
          <cell r="W15" t="str">
            <v>未</v>
          </cell>
          <cell r="X15" t="str">
            <v>未</v>
          </cell>
          <cell r="Y15" t="str">
            <v>未</v>
          </cell>
          <cell r="Z15" t="str">
            <v>未</v>
          </cell>
          <cell r="AA15" t="str">
            <v>未</v>
          </cell>
          <cell r="AB15">
            <v>806.48</v>
          </cell>
          <cell r="AC15" t="str">
            <v>未</v>
          </cell>
          <cell r="AD15" t="str">
            <v>未</v>
          </cell>
          <cell r="AE15">
            <v>897.6</v>
          </cell>
          <cell r="AF15">
            <v>877.96</v>
          </cell>
          <cell r="AG15">
            <v>917.44</v>
          </cell>
          <cell r="AH15">
            <v>829.76</v>
          </cell>
          <cell r="AI15">
            <v>809.12</v>
          </cell>
          <cell r="AJ15">
            <v>840.24</v>
          </cell>
          <cell r="AK15">
            <v>770.16</v>
          </cell>
          <cell r="AL15">
            <v>1356.32</v>
          </cell>
          <cell r="AM15">
            <v>692.44</v>
          </cell>
          <cell r="AN15">
            <v>1069.52</v>
          </cell>
          <cell r="AO15">
            <v>1069.52</v>
          </cell>
          <cell r="AP15">
            <v>1156.8800000000001</v>
          </cell>
          <cell r="AQ15">
            <v>1184</v>
          </cell>
          <cell r="AR15">
            <v>1184</v>
          </cell>
          <cell r="AS15">
            <v>1048.6400000000001</v>
          </cell>
          <cell r="AT15">
            <v>1089.48</v>
          </cell>
          <cell r="AU15">
            <v>1100.04</v>
          </cell>
          <cell r="AV15">
            <v>679.24</v>
          </cell>
          <cell r="AW15">
            <v>692.44</v>
          </cell>
          <cell r="AX15">
            <v>692.44</v>
          </cell>
          <cell r="AY15">
            <v>1454.48</v>
          </cell>
          <cell r="AZ15">
            <v>1454.48</v>
          </cell>
          <cell r="BA15" t="str">
            <v>未</v>
          </cell>
          <cell r="BB15" t="str">
            <v>未</v>
          </cell>
          <cell r="BC15" t="str">
            <v>未</v>
          </cell>
          <cell r="BD15" t="str">
            <v>未</v>
          </cell>
          <cell r="BE15" t="str">
            <v>未</v>
          </cell>
          <cell r="BF15">
            <v>692.44</v>
          </cell>
          <cell r="BG15">
            <v>692.44</v>
          </cell>
          <cell r="BH15" t="str">
            <v>未</v>
          </cell>
          <cell r="BI15">
            <v>1454.48</v>
          </cell>
          <cell r="BJ15">
            <v>692.44</v>
          </cell>
          <cell r="BK15">
            <v>692.44</v>
          </cell>
          <cell r="BL15">
            <v>638.04</v>
          </cell>
          <cell r="BM15">
            <v>1356.32</v>
          </cell>
          <cell r="BR15">
            <v>861.35400000000004</v>
          </cell>
          <cell r="BS15">
            <v>1963.7639999999999</v>
          </cell>
          <cell r="BT15">
            <v>1088.748</v>
          </cell>
          <cell r="BU15">
            <v>1238.5440000000001</v>
          </cell>
          <cell r="BV15">
            <v>1120.1760000000002</v>
          </cell>
          <cell r="BW15">
            <v>1134.3240000000001</v>
          </cell>
          <cell r="BX15">
            <v>1039.7160000000001</v>
          </cell>
          <cell r="BY15">
            <v>1831.0319999999999</v>
          </cell>
          <cell r="BZ15">
            <v>1443.8520000000001</v>
          </cell>
          <cell r="CA15">
            <v>1443.8520000000001</v>
          </cell>
          <cell r="CB15">
            <v>1561.7880000000002</v>
          </cell>
          <cell r="CC15">
            <v>1598.4</v>
          </cell>
          <cell r="CD15">
            <v>1415.6640000000002</v>
          </cell>
          <cell r="CE15">
            <v>1470.7980000000002</v>
          </cell>
          <cell r="CF15">
            <v>1485.0540000000001</v>
          </cell>
          <cell r="CG15">
            <v>916.97400000000005</v>
          </cell>
          <cell r="CH15">
            <v>934.7940000000001</v>
          </cell>
          <cell r="CI15">
            <v>934.7940000000001</v>
          </cell>
          <cell r="CJ15">
            <v>1672.6519999999998</v>
          </cell>
          <cell r="CK15">
            <v>1672.6519999999998</v>
          </cell>
          <cell r="CL15">
            <v>1672.6519999999998</v>
          </cell>
          <cell r="CM15">
            <v>934.7940000000001</v>
          </cell>
          <cell r="CN15">
            <v>934.7940000000001</v>
          </cell>
        </row>
        <row r="16">
          <cell r="E16">
            <v>0.79</v>
          </cell>
          <cell r="M16">
            <v>768.36842681080464</v>
          </cell>
          <cell r="N16">
            <v>922.04211217296552</v>
          </cell>
          <cell r="O16">
            <v>922.04211217296552</v>
          </cell>
          <cell r="U16">
            <v>820.83</v>
          </cell>
          <cell r="V16">
            <v>1807.53</v>
          </cell>
          <cell r="W16" t="str">
            <v>未</v>
          </cell>
          <cell r="X16" t="str">
            <v>未</v>
          </cell>
          <cell r="Y16" t="str">
            <v>未</v>
          </cell>
          <cell r="Z16" t="str">
            <v>未</v>
          </cell>
          <cell r="AA16" t="str">
            <v>未</v>
          </cell>
          <cell r="AB16">
            <v>981.71</v>
          </cell>
          <cell r="AC16" t="str">
            <v>未</v>
          </cell>
          <cell r="AD16" t="str">
            <v>未</v>
          </cell>
          <cell r="AE16">
            <v>973.2</v>
          </cell>
          <cell r="AF16">
            <v>978.67000000000007</v>
          </cell>
          <cell r="AG16">
            <v>990.88</v>
          </cell>
          <cell r="AH16">
            <v>1008.77</v>
          </cell>
          <cell r="AI16">
            <v>938.99</v>
          </cell>
          <cell r="AJ16">
            <v>971.73</v>
          </cell>
          <cell r="AK16">
            <v>900.56999999999994</v>
          </cell>
          <cell r="AL16">
            <v>1576.6399999999999</v>
          </cell>
          <cell r="AM16">
            <v>894.13</v>
          </cell>
          <cell r="AN16">
            <v>1211.54</v>
          </cell>
          <cell r="AO16">
            <v>1211.54</v>
          </cell>
          <cell r="AP16">
            <v>1276.76</v>
          </cell>
          <cell r="AQ16">
            <v>1305.5</v>
          </cell>
          <cell r="AR16">
            <v>1305.5</v>
          </cell>
          <cell r="AS16">
            <v>1124.78</v>
          </cell>
          <cell r="AT16">
            <v>1217.46</v>
          </cell>
          <cell r="AU16">
            <v>1235.58</v>
          </cell>
          <cell r="AV16">
            <v>878.23</v>
          </cell>
          <cell r="AW16">
            <v>894.13</v>
          </cell>
          <cell r="AX16">
            <v>894.13</v>
          </cell>
          <cell r="AY16">
            <v>1568.96</v>
          </cell>
          <cell r="AZ16">
            <v>1568.96</v>
          </cell>
          <cell r="BA16" t="str">
            <v>未</v>
          </cell>
          <cell r="BB16" t="str">
            <v>未</v>
          </cell>
          <cell r="BC16" t="str">
            <v>未</v>
          </cell>
          <cell r="BD16" t="str">
            <v>未</v>
          </cell>
          <cell r="BE16" t="str">
            <v>未</v>
          </cell>
          <cell r="BF16">
            <v>894.13</v>
          </cell>
          <cell r="BG16">
            <v>894.13</v>
          </cell>
          <cell r="BH16" t="str">
            <v>未</v>
          </cell>
          <cell r="BI16">
            <v>1568.96</v>
          </cell>
          <cell r="BJ16">
            <v>894.13</v>
          </cell>
          <cell r="BK16">
            <v>894.13</v>
          </cell>
          <cell r="BL16">
            <v>820.83</v>
          </cell>
          <cell r="BM16">
            <v>1576.6399999999999</v>
          </cell>
          <cell r="BR16">
            <v>1108.1205000000002</v>
          </cell>
          <cell r="BS16">
            <v>2440.1655000000001</v>
          </cell>
          <cell r="BT16">
            <v>1325.3085000000001</v>
          </cell>
          <cell r="BU16">
            <v>1337.6880000000001</v>
          </cell>
          <cell r="BV16">
            <v>1361.8395</v>
          </cell>
          <cell r="BW16">
            <v>1311.8355000000001</v>
          </cell>
          <cell r="BX16">
            <v>1215.7695000000001</v>
          </cell>
          <cell r="BY16">
            <v>2128.4639999999999</v>
          </cell>
          <cell r="BZ16">
            <v>1635.579</v>
          </cell>
          <cell r="CA16">
            <v>1635.579</v>
          </cell>
          <cell r="CB16">
            <v>1723.6260000000002</v>
          </cell>
          <cell r="CC16">
            <v>1762.4250000000002</v>
          </cell>
          <cell r="CD16">
            <v>1518.453</v>
          </cell>
          <cell r="CE16">
            <v>1643.5710000000001</v>
          </cell>
          <cell r="CF16">
            <v>1668.0329999999999</v>
          </cell>
          <cell r="CG16">
            <v>1185.6105</v>
          </cell>
          <cell r="CH16">
            <v>1207.0755000000001</v>
          </cell>
          <cell r="CI16">
            <v>1207.0755000000001</v>
          </cell>
          <cell r="CJ16">
            <v>1804.3039999999999</v>
          </cell>
          <cell r="CK16">
            <v>1804.3039999999999</v>
          </cell>
          <cell r="CL16">
            <v>1804.3039999999999</v>
          </cell>
          <cell r="CM16">
            <v>1207.0755000000001</v>
          </cell>
          <cell r="CN16">
            <v>1207.0755000000001</v>
          </cell>
        </row>
        <row r="17">
          <cell r="E17">
            <v>1.05</v>
          </cell>
          <cell r="M17">
            <v>989.53794820602775</v>
          </cell>
          <cell r="N17">
            <v>1187.4455378472333</v>
          </cell>
          <cell r="O17">
            <v>1187.4455378472333</v>
          </cell>
          <cell r="U17">
            <v>996.85</v>
          </cell>
          <cell r="V17">
            <v>2147.3500000000004</v>
          </cell>
          <cell r="W17" t="str">
            <v>未</v>
          </cell>
          <cell r="X17" t="str">
            <v>未</v>
          </cell>
          <cell r="Y17" t="str">
            <v>未</v>
          </cell>
          <cell r="Z17" t="str">
            <v>未</v>
          </cell>
          <cell r="AA17" t="str">
            <v>未</v>
          </cell>
          <cell r="AB17">
            <v>1150.45</v>
          </cell>
          <cell r="AC17" t="str">
            <v>未</v>
          </cell>
          <cell r="AD17" t="str">
            <v>未</v>
          </cell>
          <cell r="AE17">
            <v>1046</v>
          </cell>
          <cell r="AF17">
            <v>1075.6500000000001</v>
          </cell>
          <cell r="AG17">
            <v>1061.5999999999999</v>
          </cell>
          <cell r="AH17">
            <v>1181.1500000000001</v>
          </cell>
          <cell r="AI17">
            <v>1064.05</v>
          </cell>
          <cell r="AJ17">
            <v>1098.3499999999999</v>
          </cell>
          <cell r="AK17">
            <v>1026.1500000000001</v>
          </cell>
          <cell r="AL17">
            <v>1788.8000000000002</v>
          </cell>
          <cell r="AM17">
            <v>1088.3499999999999</v>
          </cell>
          <cell r="AN17">
            <v>1348.3000000000002</v>
          </cell>
          <cell r="AO17">
            <v>1348.3000000000002</v>
          </cell>
          <cell r="AP17">
            <v>1392.2</v>
          </cell>
          <cell r="AQ17">
            <v>1422.5</v>
          </cell>
          <cell r="AR17">
            <v>1422.5</v>
          </cell>
          <cell r="AS17">
            <v>1198.0999999999999</v>
          </cell>
          <cell r="AT17">
            <v>1340.7</v>
          </cell>
          <cell r="AU17">
            <v>1366.1</v>
          </cell>
          <cell r="AV17">
            <v>1069.8499999999999</v>
          </cell>
          <cell r="AW17">
            <v>1088.3499999999999</v>
          </cell>
          <cell r="AX17">
            <v>1088.3499999999999</v>
          </cell>
          <cell r="AY17">
            <v>1679.2</v>
          </cell>
          <cell r="AZ17">
            <v>1679.2</v>
          </cell>
          <cell r="BA17" t="str">
            <v>未</v>
          </cell>
          <cell r="BB17" t="str">
            <v>未</v>
          </cell>
          <cell r="BC17" t="str">
            <v>未</v>
          </cell>
          <cell r="BD17" t="str">
            <v>未</v>
          </cell>
          <cell r="BE17" t="str">
            <v>未</v>
          </cell>
          <cell r="BF17">
            <v>1088.3499999999999</v>
          </cell>
          <cell r="BG17">
            <v>1088.3499999999999</v>
          </cell>
          <cell r="BH17" t="str">
            <v>未</v>
          </cell>
          <cell r="BI17">
            <v>1679.2</v>
          </cell>
          <cell r="BJ17">
            <v>1088.3499999999999</v>
          </cell>
          <cell r="BK17">
            <v>1088.3499999999999</v>
          </cell>
          <cell r="BL17">
            <v>996.85</v>
          </cell>
          <cell r="BM17">
            <v>1788.8000000000002</v>
          </cell>
          <cell r="BR17">
            <v>1345.7475000000002</v>
          </cell>
          <cell r="BS17">
            <v>2898.9225000000006</v>
          </cell>
          <cell r="BT17">
            <v>1553.1075000000001</v>
          </cell>
          <cell r="BU17">
            <v>1433.16</v>
          </cell>
          <cell r="BV17">
            <v>1594.5525000000002</v>
          </cell>
          <cell r="BW17">
            <v>1482.7725</v>
          </cell>
          <cell r="BX17">
            <v>1385.3025000000002</v>
          </cell>
          <cell r="BY17">
            <v>2414.8800000000006</v>
          </cell>
          <cell r="BZ17">
            <v>1820.2050000000004</v>
          </cell>
          <cell r="CA17">
            <v>1820.2050000000004</v>
          </cell>
          <cell r="CB17">
            <v>1879.4700000000003</v>
          </cell>
          <cell r="CC17">
            <v>1920.3750000000002</v>
          </cell>
          <cell r="CD17">
            <v>1617.4349999999999</v>
          </cell>
          <cell r="CE17">
            <v>1809.9450000000002</v>
          </cell>
          <cell r="CF17">
            <v>1844.2349999999999</v>
          </cell>
          <cell r="CG17">
            <v>1444.2974999999999</v>
          </cell>
          <cell r="CH17">
            <v>1469.2725</v>
          </cell>
          <cell r="CI17">
            <v>1469.2725</v>
          </cell>
          <cell r="CJ17">
            <v>1931.08</v>
          </cell>
          <cell r="CK17">
            <v>1931.08</v>
          </cell>
          <cell r="CL17">
            <v>1931.08</v>
          </cell>
          <cell r="CM17">
            <v>1469.2725</v>
          </cell>
          <cell r="CN17">
            <v>1469.2725</v>
          </cell>
        </row>
        <row r="18">
          <cell r="E18">
            <v>1.32</v>
          </cell>
          <cell r="M18">
            <v>1219.2139896549133</v>
          </cell>
          <cell r="N18">
            <v>1463.056787585896</v>
          </cell>
          <cell r="O18">
            <v>1463.056787585896</v>
          </cell>
          <cell r="U18">
            <v>1179.6399999999999</v>
          </cell>
          <cell r="V18">
            <v>2500.2399999999998</v>
          </cell>
          <cell r="W18" t="str">
            <v>未</v>
          </cell>
          <cell r="X18" t="str">
            <v>未</v>
          </cell>
          <cell r="Y18" t="str">
            <v>未</v>
          </cell>
          <cell r="Z18" t="str">
            <v>未</v>
          </cell>
          <cell r="AA18" t="str">
            <v>未</v>
          </cell>
          <cell r="AB18">
            <v>1325.68</v>
          </cell>
          <cell r="AC18" t="str">
            <v>未</v>
          </cell>
          <cell r="AD18" t="str">
            <v>未</v>
          </cell>
          <cell r="AE18">
            <v>1121.5999999999999</v>
          </cell>
          <cell r="AF18">
            <v>1176.3600000000001</v>
          </cell>
          <cell r="AG18">
            <v>1135.04</v>
          </cell>
          <cell r="AH18">
            <v>1360.16</v>
          </cell>
          <cell r="AI18">
            <v>1193.92</v>
          </cell>
          <cell r="AJ18">
            <v>1229.8400000000001</v>
          </cell>
          <cell r="AK18">
            <v>1156.56</v>
          </cell>
          <cell r="AL18">
            <v>2009.1200000000001</v>
          </cell>
          <cell r="AM18">
            <v>1290.04</v>
          </cell>
          <cell r="AN18">
            <v>1490.3200000000002</v>
          </cell>
          <cell r="AO18">
            <v>1490.3200000000002</v>
          </cell>
          <cell r="AP18">
            <v>1512.08</v>
          </cell>
          <cell r="AQ18">
            <v>1544</v>
          </cell>
          <cell r="AR18">
            <v>1544</v>
          </cell>
          <cell r="AS18">
            <v>1274.24</v>
          </cell>
          <cell r="AT18">
            <v>1468.68</v>
          </cell>
          <cell r="AU18">
            <v>1501.6399999999999</v>
          </cell>
          <cell r="AV18">
            <v>1268.8400000000001</v>
          </cell>
          <cell r="AW18">
            <v>1290.04</v>
          </cell>
          <cell r="AX18">
            <v>1290.04</v>
          </cell>
          <cell r="AY18">
            <v>1793.68</v>
          </cell>
          <cell r="AZ18">
            <v>1793.68</v>
          </cell>
          <cell r="BA18" t="str">
            <v>未</v>
          </cell>
          <cell r="BB18" t="str">
            <v>未</v>
          </cell>
          <cell r="BC18" t="str">
            <v>未</v>
          </cell>
          <cell r="BD18" t="str">
            <v>未</v>
          </cell>
          <cell r="BE18" t="str">
            <v>未</v>
          </cell>
          <cell r="BF18">
            <v>1290.04</v>
          </cell>
          <cell r="BG18">
            <v>1290.04</v>
          </cell>
          <cell r="BH18" t="str">
            <v>未</v>
          </cell>
          <cell r="BI18">
            <v>1793.68</v>
          </cell>
          <cell r="BJ18">
            <v>1290.04</v>
          </cell>
          <cell r="BK18">
            <v>1290.04</v>
          </cell>
          <cell r="BL18">
            <v>1179.6399999999999</v>
          </cell>
          <cell r="BM18">
            <v>2009.1200000000001</v>
          </cell>
          <cell r="BR18">
            <v>1592.5139999999999</v>
          </cell>
          <cell r="BS18">
            <v>3375.3240000000001</v>
          </cell>
          <cell r="BT18">
            <v>1789.6680000000001</v>
          </cell>
          <cell r="BU18">
            <v>1532.3040000000001</v>
          </cell>
          <cell r="BV18">
            <v>1836.2160000000001</v>
          </cell>
          <cell r="BW18">
            <v>1660.2840000000003</v>
          </cell>
          <cell r="BX18">
            <v>1561.356</v>
          </cell>
          <cell r="BY18">
            <v>2712.3120000000004</v>
          </cell>
          <cell r="BZ18">
            <v>2011.9320000000002</v>
          </cell>
          <cell r="CA18">
            <v>2011.9320000000002</v>
          </cell>
          <cell r="CB18">
            <v>2041.308</v>
          </cell>
          <cell r="CC18">
            <v>2084.4</v>
          </cell>
          <cell r="CD18">
            <v>1720.2240000000002</v>
          </cell>
          <cell r="CE18">
            <v>1982.7180000000003</v>
          </cell>
          <cell r="CF18">
            <v>2027.2139999999999</v>
          </cell>
          <cell r="CG18">
            <v>1712.9340000000002</v>
          </cell>
          <cell r="CH18">
            <v>1741.5540000000001</v>
          </cell>
          <cell r="CI18">
            <v>1741.5540000000001</v>
          </cell>
          <cell r="CJ18">
            <v>2062.732</v>
          </cell>
          <cell r="CK18">
            <v>2062.732</v>
          </cell>
          <cell r="CL18">
            <v>2062.732</v>
          </cell>
          <cell r="CM18">
            <v>1741.5540000000001</v>
          </cell>
          <cell r="CN18">
            <v>1741.5540000000001</v>
          </cell>
        </row>
        <row r="19">
          <cell r="E19">
            <v>0.8</v>
          </cell>
          <cell r="M19">
            <v>776.87494686446712</v>
          </cell>
          <cell r="N19">
            <v>932.24993623736054</v>
          </cell>
          <cell r="O19">
            <v>932.24993623736054</v>
          </cell>
          <cell r="U19">
            <v>827.6</v>
          </cell>
          <cell r="V19">
            <v>1820.6000000000001</v>
          </cell>
          <cell r="W19" t="str">
            <v>未</v>
          </cell>
          <cell r="X19" t="str">
            <v>未</v>
          </cell>
          <cell r="Y19" t="str">
            <v>未</v>
          </cell>
          <cell r="Z19" t="str">
            <v>未</v>
          </cell>
          <cell r="AA19" t="str">
            <v>未</v>
          </cell>
          <cell r="AB19">
            <v>988.2</v>
          </cell>
          <cell r="AC19" t="str">
            <v>未</v>
          </cell>
          <cell r="AD19" t="str">
            <v>未</v>
          </cell>
          <cell r="AE19">
            <v>976</v>
          </cell>
          <cell r="AF19">
            <v>982.40000000000009</v>
          </cell>
          <cell r="AG19">
            <v>993.6</v>
          </cell>
          <cell r="AH19">
            <v>1015.4</v>
          </cell>
          <cell r="AI19">
            <v>943.8</v>
          </cell>
          <cell r="AJ19">
            <v>976.6</v>
          </cell>
          <cell r="AK19">
            <v>905.40000000000009</v>
          </cell>
          <cell r="AL19">
            <v>1584.8000000000002</v>
          </cell>
          <cell r="AM19">
            <v>901.6</v>
          </cell>
          <cell r="AN19">
            <v>1216.8</v>
          </cell>
          <cell r="AO19">
            <v>1216.8</v>
          </cell>
          <cell r="AP19">
            <v>1281.2</v>
          </cell>
          <cell r="AQ19">
            <v>1310</v>
          </cell>
          <cell r="AR19">
            <v>1310</v>
          </cell>
          <cell r="AS19">
            <v>1127.5999999999999</v>
          </cell>
          <cell r="AT19">
            <v>1222.2</v>
          </cell>
          <cell r="AU19">
            <v>1240.5999999999999</v>
          </cell>
          <cell r="AV19">
            <v>885.6</v>
          </cell>
          <cell r="AW19">
            <v>901.6</v>
          </cell>
          <cell r="AX19">
            <v>901.6</v>
          </cell>
          <cell r="AY19">
            <v>1573.2</v>
          </cell>
          <cell r="AZ19">
            <v>1573.2</v>
          </cell>
          <cell r="BA19" t="str">
            <v>未</v>
          </cell>
          <cell r="BB19" t="str">
            <v>未</v>
          </cell>
          <cell r="BC19" t="str">
            <v>未</v>
          </cell>
          <cell r="BD19" t="str">
            <v>未</v>
          </cell>
          <cell r="BE19" t="str">
            <v>未</v>
          </cell>
          <cell r="BF19">
            <v>901.6</v>
          </cell>
          <cell r="BG19">
            <v>901.6</v>
          </cell>
          <cell r="BH19" t="str">
            <v>未</v>
          </cell>
          <cell r="BI19">
            <v>1573.2</v>
          </cell>
          <cell r="BJ19">
            <v>901.6</v>
          </cell>
          <cell r="BK19">
            <v>901.6</v>
          </cell>
          <cell r="BL19">
            <v>827.6</v>
          </cell>
          <cell r="BM19">
            <v>1584.8000000000002</v>
          </cell>
          <cell r="BR19">
            <v>1117.26</v>
          </cell>
          <cell r="BS19">
            <v>2457.8100000000004</v>
          </cell>
          <cell r="BT19">
            <v>1334.0700000000002</v>
          </cell>
          <cell r="BU19">
            <v>1341.3600000000001</v>
          </cell>
          <cell r="BV19">
            <v>1370.79</v>
          </cell>
          <cell r="BW19">
            <v>1318.41</v>
          </cell>
          <cell r="BX19">
            <v>1222.2900000000002</v>
          </cell>
          <cell r="BY19">
            <v>2139.4800000000005</v>
          </cell>
          <cell r="BZ19">
            <v>1642.68</v>
          </cell>
          <cell r="CA19">
            <v>1642.68</v>
          </cell>
          <cell r="CB19">
            <v>1729.6200000000001</v>
          </cell>
          <cell r="CC19">
            <v>1768.5000000000002</v>
          </cell>
          <cell r="CD19">
            <v>1522.26</v>
          </cell>
          <cell r="CE19">
            <v>1649.9700000000003</v>
          </cell>
          <cell r="CF19">
            <v>1674.81</v>
          </cell>
          <cell r="CG19">
            <v>1195.5600000000002</v>
          </cell>
          <cell r="CH19">
            <v>1217.1600000000001</v>
          </cell>
          <cell r="CI19">
            <v>1217.1600000000001</v>
          </cell>
          <cell r="CJ19">
            <v>1809.1799999999998</v>
          </cell>
          <cell r="CK19">
            <v>1809.1799999999998</v>
          </cell>
          <cell r="CL19">
            <v>1809.1799999999998</v>
          </cell>
          <cell r="CM19">
            <v>1217.1600000000001</v>
          </cell>
          <cell r="CN19">
            <v>1217.1600000000001</v>
          </cell>
        </row>
        <row r="20">
          <cell r="E20">
            <v>0.42</v>
          </cell>
          <cell r="M20">
            <v>453.62718482529488</v>
          </cell>
          <cell r="N20">
            <v>544.35262179035385</v>
          </cell>
          <cell r="O20">
            <v>544.35262179035385</v>
          </cell>
          <cell r="U20">
            <v>570.33999999999992</v>
          </cell>
          <cell r="V20">
            <v>1323.94</v>
          </cell>
          <cell r="W20" t="str">
            <v>未</v>
          </cell>
          <cell r="X20" t="str">
            <v>未</v>
          </cell>
          <cell r="Y20" t="str">
            <v>未</v>
          </cell>
          <cell r="Z20" t="str">
            <v>未</v>
          </cell>
          <cell r="AA20" t="str">
            <v>未</v>
          </cell>
          <cell r="AB20">
            <v>741.57999999999993</v>
          </cell>
          <cell r="AC20" t="str">
            <v>未</v>
          </cell>
          <cell r="AD20" t="str">
            <v>未</v>
          </cell>
          <cell r="AE20">
            <v>869.6</v>
          </cell>
          <cell r="AF20">
            <v>840.66</v>
          </cell>
          <cell r="AG20">
            <v>890.24</v>
          </cell>
          <cell r="AH20">
            <v>763.46</v>
          </cell>
          <cell r="AI20">
            <v>761.02</v>
          </cell>
          <cell r="AJ20">
            <v>791.54</v>
          </cell>
          <cell r="AK20">
            <v>721.86</v>
          </cell>
          <cell r="AL20">
            <v>1274.72</v>
          </cell>
          <cell r="AM20">
            <v>617.74</v>
          </cell>
          <cell r="AN20">
            <v>1016.92</v>
          </cell>
          <cell r="AO20">
            <v>1016.92</v>
          </cell>
          <cell r="AP20">
            <v>1112.48</v>
          </cell>
          <cell r="AQ20">
            <v>1139</v>
          </cell>
          <cell r="AR20">
            <v>1139</v>
          </cell>
          <cell r="AS20">
            <v>1020.44</v>
          </cell>
          <cell r="AT20">
            <v>1042.08</v>
          </cell>
          <cell r="AU20">
            <v>1049.8399999999999</v>
          </cell>
          <cell r="AV20">
            <v>605.54</v>
          </cell>
          <cell r="AW20">
            <v>617.74</v>
          </cell>
          <cell r="AX20">
            <v>617.74</v>
          </cell>
          <cell r="AY20">
            <v>1412.08</v>
          </cell>
          <cell r="AZ20">
            <v>1412.08</v>
          </cell>
          <cell r="BA20" t="str">
            <v>未</v>
          </cell>
          <cell r="BB20" t="str">
            <v>未</v>
          </cell>
          <cell r="BC20" t="str">
            <v>未</v>
          </cell>
          <cell r="BD20" t="str">
            <v>未</v>
          </cell>
          <cell r="BE20" t="str">
            <v>未</v>
          </cell>
          <cell r="BF20">
            <v>617.74</v>
          </cell>
          <cell r="BG20">
            <v>617.74</v>
          </cell>
          <cell r="BH20" t="str">
            <v>未</v>
          </cell>
          <cell r="BI20">
            <v>1412.08</v>
          </cell>
          <cell r="BJ20">
            <v>617.74</v>
          </cell>
          <cell r="BK20">
            <v>617.74</v>
          </cell>
          <cell r="BL20">
            <v>570.33999999999992</v>
          </cell>
          <cell r="BM20">
            <v>1274.72</v>
          </cell>
          <cell r="BR20">
            <v>769.95899999999995</v>
          </cell>
          <cell r="BS20">
            <v>1787.3190000000002</v>
          </cell>
          <cell r="BT20">
            <v>1001.1329999999999</v>
          </cell>
          <cell r="BU20">
            <v>1201.8240000000001</v>
          </cell>
          <cell r="BV20">
            <v>1030.671</v>
          </cell>
          <cell r="BW20">
            <v>1068.579</v>
          </cell>
          <cell r="BX20">
            <v>974.51100000000008</v>
          </cell>
          <cell r="BY20">
            <v>1720.8720000000001</v>
          </cell>
          <cell r="BZ20">
            <v>1372.8420000000001</v>
          </cell>
          <cell r="CA20">
            <v>1372.8420000000001</v>
          </cell>
          <cell r="CB20">
            <v>1501.8480000000002</v>
          </cell>
          <cell r="CC20">
            <v>1537.65</v>
          </cell>
          <cell r="CD20">
            <v>1377.5940000000001</v>
          </cell>
          <cell r="CE20">
            <v>1406.808</v>
          </cell>
          <cell r="CF20">
            <v>1417.2839999999999</v>
          </cell>
          <cell r="CG20">
            <v>817.47900000000004</v>
          </cell>
          <cell r="CH20">
            <v>833.94900000000007</v>
          </cell>
          <cell r="CI20">
            <v>833.94900000000007</v>
          </cell>
          <cell r="CJ20">
            <v>1623.8919999999998</v>
          </cell>
          <cell r="CK20">
            <v>1623.8919999999998</v>
          </cell>
          <cell r="CL20">
            <v>1623.8919999999998</v>
          </cell>
          <cell r="CM20">
            <v>833.94900000000007</v>
          </cell>
          <cell r="CN20">
            <v>833.94900000000007</v>
          </cell>
        </row>
        <row r="21">
          <cell r="E21">
            <v>0.66</v>
          </cell>
          <cell r="M21">
            <v>657.78366611319314</v>
          </cell>
          <cell r="N21">
            <v>789.34039933583176</v>
          </cell>
          <cell r="O21">
            <v>789.34039933583176</v>
          </cell>
          <cell r="U21">
            <v>732.81999999999994</v>
          </cell>
          <cell r="V21">
            <v>1637.62</v>
          </cell>
          <cell r="W21" t="str">
            <v>未</v>
          </cell>
          <cell r="X21" t="str">
            <v>未</v>
          </cell>
          <cell r="Y21" t="str">
            <v>未</v>
          </cell>
          <cell r="Z21" t="str">
            <v>未</v>
          </cell>
          <cell r="AA21" t="str">
            <v>未</v>
          </cell>
          <cell r="AB21">
            <v>897.34</v>
          </cell>
          <cell r="AC21" t="str">
            <v>未</v>
          </cell>
          <cell r="AD21" t="str">
            <v>未</v>
          </cell>
          <cell r="AE21">
            <v>936.8</v>
          </cell>
          <cell r="AF21">
            <v>930.18000000000006</v>
          </cell>
          <cell r="AG21">
            <v>955.52</v>
          </cell>
          <cell r="AH21">
            <v>922.58</v>
          </cell>
          <cell r="AI21">
            <v>876.46</v>
          </cell>
          <cell r="AJ21">
            <v>908.42000000000007</v>
          </cell>
          <cell r="AK21">
            <v>837.78</v>
          </cell>
          <cell r="AL21">
            <v>1470.56</v>
          </cell>
          <cell r="AM21">
            <v>797.02</v>
          </cell>
          <cell r="AN21">
            <v>1143.1600000000001</v>
          </cell>
          <cell r="AO21">
            <v>1143.1600000000001</v>
          </cell>
          <cell r="AP21">
            <v>1219.04</v>
          </cell>
          <cell r="AQ21">
            <v>1247</v>
          </cell>
          <cell r="AR21">
            <v>1247</v>
          </cell>
          <cell r="AS21">
            <v>1088.1199999999999</v>
          </cell>
          <cell r="AT21">
            <v>1155.8400000000001</v>
          </cell>
          <cell r="AU21">
            <v>1170.32</v>
          </cell>
          <cell r="AV21">
            <v>782.42000000000007</v>
          </cell>
          <cell r="AW21">
            <v>797.02</v>
          </cell>
          <cell r="AX21">
            <v>797.02</v>
          </cell>
          <cell r="AY21">
            <v>1513.8400000000001</v>
          </cell>
          <cell r="AZ21">
            <v>1513.8400000000001</v>
          </cell>
          <cell r="BA21" t="str">
            <v>未</v>
          </cell>
          <cell r="BB21" t="str">
            <v>未</v>
          </cell>
          <cell r="BC21" t="str">
            <v>未</v>
          </cell>
          <cell r="BD21" t="str">
            <v>未</v>
          </cell>
          <cell r="BE21" t="str">
            <v>未</v>
          </cell>
          <cell r="BF21">
            <v>797.02</v>
          </cell>
          <cell r="BG21">
            <v>797.02</v>
          </cell>
          <cell r="BH21" t="str">
            <v>未</v>
          </cell>
          <cell r="BI21">
            <v>1513.8400000000001</v>
          </cell>
          <cell r="BJ21">
            <v>797.02</v>
          </cell>
          <cell r="BK21">
            <v>797.02</v>
          </cell>
          <cell r="BL21">
            <v>732.81999999999994</v>
          </cell>
          <cell r="BM21">
            <v>1470.56</v>
          </cell>
          <cell r="BR21">
            <v>989.30700000000002</v>
          </cell>
          <cell r="BS21">
            <v>2210.7869999999998</v>
          </cell>
          <cell r="BT21">
            <v>1211.4090000000001</v>
          </cell>
          <cell r="BU21">
            <v>1289.952</v>
          </cell>
          <cell r="BV21">
            <v>1245.4830000000002</v>
          </cell>
          <cell r="BW21">
            <v>1226.3670000000002</v>
          </cell>
          <cell r="BX21">
            <v>1131.0029999999999</v>
          </cell>
          <cell r="BY21">
            <v>1985.2560000000001</v>
          </cell>
          <cell r="BZ21">
            <v>1543.2660000000003</v>
          </cell>
          <cell r="CA21">
            <v>1543.2660000000003</v>
          </cell>
          <cell r="CB21">
            <v>1645.704</v>
          </cell>
          <cell r="CC21">
            <v>1683.45</v>
          </cell>
          <cell r="CD21">
            <v>1468.962</v>
          </cell>
          <cell r="CE21">
            <v>1560.3840000000002</v>
          </cell>
          <cell r="CF21">
            <v>1579.932</v>
          </cell>
          <cell r="CG21">
            <v>1056.2670000000003</v>
          </cell>
          <cell r="CH21">
            <v>1075.9770000000001</v>
          </cell>
          <cell r="CI21">
            <v>1075.9770000000001</v>
          </cell>
          <cell r="CJ21">
            <v>1740.9159999999999</v>
          </cell>
          <cell r="CK21">
            <v>1740.9159999999999</v>
          </cell>
          <cell r="CL21">
            <v>1740.9159999999999</v>
          </cell>
          <cell r="CM21">
            <v>1075.9770000000001</v>
          </cell>
          <cell r="CN21">
            <v>1075.9770000000001</v>
          </cell>
        </row>
        <row r="22">
          <cell r="E22">
            <v>0.67</v>
          </cell>
          <cell r="M22">
            <v>666.29018616685551</v>
          </cell>
          <cell r="N22">
            <v>799.54822340022656</v>
          </cell>
          <cell r="O22">
            <v>799.54822340022656</v>
          </cell>
          <cell r="U22">
            <v>739.59</v>
          </cell>
          <cell r="V22">
            <v>1650.69</v>
          </cell>
          <cell r="W22" t="str">
            <v>未</v>
          </cell>
          <cell r="X22" t="str">
            <v>未</v>
          </cell>
          <cell r="Y22" t="str">
            <v>未</v>
          </cell>
          <cell r="Z22" t="str">
            <v>未</v>
          </cell>
          <cell r="AA22" t="str">
            <v>未</v>
          </cell>
          <cell r="AB22">
            <v>903.83</v>
          </cell>
          <cell r="AC22" t="str">
            <v>未</v>
          </cell>
          <cell r="AD22" t="str">
            <v>未</v>
          </cell>
          <cell r="AE22">
            <v>939.6</v>
          </cell>
          <cell r="AF22">
            <v>933.91000000000008</v>
          </cell>
          <cell r="AG22">
            <v>958.24</v>
          </cell>
          <cell r="AH22">
            <v>929.21</v>
          </cell>
          <cell r="AI22">
            <v>881.27</v>
          </cell>
          <cell r="AJ22">
            <v>913.29</v>
          </cell>
          <cell r="AK22">
            <v>842.61</v>
          </cell>
          <cell r="AL22">
            <v>1478.72</v>
          </cell>
          <cell r="AM22">
            <v>804.49</v>
          </cell>
          <cell r="AN22">
            <v>1148.42</v>
          </cell>
          <cell r="AO22">
            <v>1148.42</v>
          </cell>
          <cell r="AP22">
            <v>1223.48</v>
          </cell>
          <cell r="AQ22">
            <v>1251.5</v>
          </cell>
          <cell r="AR22">
            <v>1251.5</v>
          </cell>
          <cell r="AS22">
            <v>1090.94</v>
          </cell>
          <cell r="AT22">
            <v>1160.58</v>
          </cell>
          <cell r="AU22">
            <v>1175.3400000000001</v>
          </cell>
          <cell r="AV22">
            <v>789.79</v>
          </cell>
          <cell r="AW22">
            <v>804.49</v>
          </cell>
          <cell r="AX22">
            <v>804.49</v>
          </cell>
          <cell r="AY22">
            <v>1518.08</v>
          </cell>
          <cell r="AZ22">
            <v>1518.08</v>
          </cell>
          <cell r="BA22" t="str">
            <v>未</v>
          </cell>
          <cell r="BB22" t="str">
            <v>未</v>
          </cell>
          <cell r="BC22" t="str">
            <v>未</v>
          </cell>
          <cell r="BD22" t="str">
            <v>未</v>
          </cell>
          <cell r="BE22" t="str">
            <v>未</v>
          </cell>
          <cell r="BF22">
            <v>804.49</v>
          </cell>
          <cell r="BG22">
            <v>804.49</v>
          </cell>
          <cell r="BH22" t="str">
            <v>未</v>
          </cell>
          <cell r="BI22">
            <v>1518.08</v>
          </cell>
          <cell r="BJ22">
            <v>804.49</v>
          </cell>
          <cell r="BK22">
            <v>804.49</v>
          </cell>
          <cell r="BL22">
            <v>739.59</v>
          </cell>
          <cell r="BM22">
            <v>1478.72</v>
          </cell>
          <cell r="BR22">
            <v>998.44650000000013</v>
          </cell>
          <cell r="BS22">
            <v>2228.4315000000001</v>
          </cell>
          <cell r="BT22">
            <v>1220.1705000000002</v>
          </cell>
          <cell r="BU22">
            <v>1293.624</v>
          </cell>
          <cell r="BV22">
            <v>1254.4335000000001</v>
          </cell>
          <cell r="BW22">
            <v>1232.9415000000001</v>
          </cell>
          <cell r="BX22">
            <v>1137.5235</v>
          </cell>
          <cell r="BY22">
            <v>1996.2720000000002</v>
          </cell>
          <cell r="BZ22">
            <v>1550.3670000000002</v>
          </cell>
          <cell r="CA22">
            <v>1550.3670000000002</v>
          </cell>
          <cell r="CB22">
            <v>1651.6980000000001</v>
          </cell>
          <cell r="CC22">
            <v>1689.5250000000001</v>
          </cell>
          <cell r="CD22">
            <v>1472.7690000000002</v>
          </cell>
          <cell r="CE22">
            <v>1566.7829999999999</v>
          </cell>
          <cell r="CF22">
            <v>1586.7090000000003</v>
          </cell>
          <cell r="CG22">
            <v>1066.2165</v>
          </cell>
          <cell r="CH22">
            <v>1086.0615</v>
          </cell>
          <cell r="CI22">
            <v>1086.0615</v>
          </cell>
          <cell r="CJ22">
            <v>1745.7919999999997</v>
          </cell>
          <cell r="CK22">
            <v>1745.7919999999997</v>
          </cell>
          <cell r="CL22">
            <v>1745.7919999999997</v>
          </cell>
          <cell r="CM22">
            <v>1086.0615</v>
          </cell>
          <cell r="CN22">
            <v>1086.0615</v>
          </cell>
        </row>
        <row r="23">
          <cell r="E23">
            <v>0.51</v>
          </cell>
          <cell r="M23">
            <v>595.28966105219115</v>
          </cell>
          <cell r="N23">
            <v>714.3475932626294</v>
          </cell>
          <cell r="O23">
            <v>714.3475932626294</v>
          </cell>
          <cell r="U23">
            <v>631.27</v>
          </cell>
          <cell r="V23">
            <v>1441.5700000000002</v>
          </cell>
          <cell r="W23" t="str">
            <v>未</v>
          </cell>
          <cell r="X23" t="str">
            <v>未</v>
          </cell>
          <cell r="Y23" t="str">
            <v>未</v>
          </cell>
          <cell r="Z23" t="str">
            <v>未</v>
          </cell>
          <cell r="AA23" t="str">
            <v>未</v>
          </cell>
          <cell r="AB23">
            <v>799.99</v>
          </cell>
          <cell r="AC23" t="str">
            <v>未</v>
          </cell>
          <cell r="AD23" t="str">
            <v>未</v>
          </cell>
          <cell r="AE23">
            <v>894.8</v>
          </cell>
          <cell r="AF23">
            <v>874.23</v>
          </cell>
          <cell r="AG23">
            <v>914.72</v>
          </cell>
          <cell r="AH23">
            <v>823.13</v>
          </cell>
          <cell r="AI23">
            <v>804.31</v>
          </cell>
          <cell r="AJ23">
            <v>835.37</v>
          </cell>
          <cell r="AK23">
            <v>765.33</v>
          </cell>
          <cell r="AL23">
            <v>1348.16</v>
          </cell>
          <cell r="AM23">
            <v>684.97</v>
          </cell>
          <cell r="AN23">
            <v>1064.26</v>
          </cell>
          <cell r="AO23">
            <v>1064.26</v>
          </cell>
          <cell r="AP23">
            <v>1152.44</v>
          </cell>
          <cell r="AQ23">
            <v>1179.5</v>
          </cell>
          <cell r="AR23">
            <v>1179.5</v>
          </cell>
          <cell r="AS23">
            <v>1045.82</v>
          </cell>
          <cell r="AT23">
            <v>1084.74</v>
          </cell>
          <cell r="AU23">
            <v>1095.02</v>
          </cell>
          <cell r="AV23">
            <v>671.87</v>
          </cell>
          <cell r="AW23">
            <v>684.97</v>
          </cell>
          <cell r="AX23">
            <v>684.97</v>
          </cell>
          <cell r="AY23">
            <v>1450.24</v>
          </cell>
          <cell r="AZ23">
            <v>1450.24</v>
          </cell>
          <cell r="BA23" t="str">
            <v>未</v>
          </cell>
          <cell r="BB23" t="str">
            <v>未</v>
          </cell>
          <cell r="BC23" t="str">
            <v>未</v>
          </cell>
          <cell r="BD23" t="str">
            <v>未</v>
          </cell>
          <cell r="BE23" t="str">
            <v>未</v>
          </cell>
          <cell r="BF23">
            <v>684.97</v>
          </cell>
          <cell r="BG23">
            <v>684.97</v>
          </cell>
          <cell r="BH23" t="str">
            <v>未</v>
          </cell>
          <cell r="BI23">
            <v>1450.24</v>
          </cell>
          <cell r="BJ23">
            <v>684.97</v>
          </cell>
          <cell r="BK23">
            <v>684.97</v>
          </cell>
          <cell r="BL23">
            <v>631.27</v>
          </cell>
          <cell r="BM23">
            <v>1348.16</v>
          </cell>
          <cell r="BR23">
            <v>852.21450000000004</v>
          </cell>
          <cell r="BS23">
            <v>1946.1195000000002</v>
          </cell>
          <cell r="BT23">
            <v>1079.9865</v>
          </cell>
          <cell r="BU23">
            <v>1234.8720000000001</v>
          </cell>
          <cell r="BV23">
            <v>1111.2255</v>
          </cell>
          <cell r="BW23">
            <v>1127.7495000000001</v>
          </cell>
          <cell r="BX23">
            <v>1033.1955</v>
          </cell>
          <cell r="BY23">
            <v>1820.0160000000003</v>
          </cell>
          <cell r="BZ23">
            <v>1436.751</v>
          </cell>
          <cell r="CA23">
            <v>1436.751</v>
          </cell>
          <cell r="CB23">
            <v>1555.7940000000001</v>
          </cell>
          <cell r="CC23">
            <v>1592.325</v>
          </cell>
          <cell r="CD23">
            <v>1411.857</v>
          </cell>
          <cell r="CE23">
            <v>1464.3990000000001</v>
          </cell>
          <cell r="CF23">
            <v>1478.277</v>
          </cell>
          <cell r="CG23">
            <v>907.0245000000001</v>
          </cell>
          <cell r="CH23">
            <v>924.70950000000005</v>
          </cell>
          <cell r="CI23">
            <v>924.70950000000005</v>
          </cell>
          <cell r="CJ23">
            <v>1667.7759999999998</v>
          </cell>
          <cell r="CK23">
            <v>1667.7759999999998</v>
          </cell>
          <cell r="CL23">
            <v>1667.7759999999998</v>
          </cell>
          <cell r="CM23">
            <v>924.70950000000005</v>
          </cell>
          <cell r="CN23">
            <v>924.70950000000005</v>
          </cell>
        </row>
        <row r="24">
          <cell r="E24">
            <v>0.56000000000000005</v>
          </cell>
          <cell r="M24">
            <v>637.8645308813359</v>
          </cell>
          <cell r="N24">
            <v>765.43743705760301</v>
          </cell>
          <cell r="O24">
            <v>765.43743705760301</v>
          </cell>
          <cell r="U24">
            <v>665.12000000000012</v>
          </cell>
          <cell r="V24">
            <v>1506.92</v>
          </cell>
          <cell r="W24" t="str">
            <v>未</v>
          </cell>
          <cell r="X24" t="str">
            <v>未</v>
          </cell>
          <cell r="Y24" t="str">
            <v>未</v>
          </cell>
          <cell r="Z24" t="str">
            <v>未</v>
          </cell>
          <cell r="AA24" t="str">
            <v>未</v>
          </cell>
          <cell r="AB24">
            <v>832.44</v>
          </cell>
          <cell r="AC24" t="str">
            <v>未</v>
          </cell>
          <cell r="AD24" t="str">
            <v>未</v>
          </cell>
          <cell r="AE24">
            <v>908.8</v>
          </cell>
          <cell r="AF24">
            <v>892.88</v>
          </cell>
          <cell r="AG24">
            <v>928.32</v>
          </cell>
          <cell r="AH24">
            <v>856.28</v>
          </cell>
          <cell r="AI24">
            <v>828.36</v>
          </cell>
          <cell r="AJ24">
            <v>859.72</v>
          </cell>
          <cell r="AK24">
            <v>789.48</v>
          </cell>
          <cell r="AL24">
            <v>1388.96</v>
          </cell>
          <cell r="AM24">
            <v>722.32</v>
          </cell>
          <cell r="AN24">
            <v>1090.56</v>
          </cell>
          <cell r="AO24">
            <v>1090.56</v>
          </cell>
          <cell r="AP24">
            <v>1174.6400000000001</v>
          </cell>
          <cell r="AQ24">
            <v>1202</v>
          </cell>
          <cell r="AR24">
            <v>1202</v>
          </cell>
          <cell r="AS24">
            <v>1059.92</v>
          </cell>
          <cell r="AT24">
            <v>1108.44</v>
          </cell>
          <cell r="AU24">
            <v>1120.1199999999999</v>
          </cell>
          <cell r="AV24">
            <v>708.72</v>
          </cell>
          <cell r="AW24">
            <v>722.32</v>
          </cell>
          <cell r="AX24">
            <v>722.32</v>
          </cell>
          <cell r="AY24">
            <v>1471.44</v>
          </cell>
          <cell r="AZ24">
            <v>1471.44</v>
          </cell>
          <cell r="BA24" t="str">
            <v>未</v>
          </cell>
          <cell r="BB24" t="str">
            <v>未</v>
          </cell>
          <cell r="BC24" t="str">
            <v>未</v>
          </cell>
          <cell r="BD24" t="str">
            <v>未</v>
          </cell>
          <cell r="BE24" t="str">
            <v>未</v>
          </cell>
          <cell r="BF24">
            <v>722.32</v>
          </cell>
          <cell r="BG24">
            <v>722.32</v>
          </cell>
          <cell r="BH24" t="str">
            <v>未</v>
          </cell>
          <cell r="BI24">
            <v>1471.44</v>
          </cell>
          <cell r="BJ24">
            <v>722.32</v>
          </cell>
          <cell r="BK24">
            <v>722.32</v>
          </cell>
          <cell r="BL24">
            <v>665.12000000000012</v>
          </cell>
          <cell r="BM24">
            <v>1388.96</v>
          </cell>
          <cell r="BR24">
            <v>897.91200000000026</v>
          </cell>
          <cell r="BS24">
            <v>2034.3420000000003</v>
          </cell>
          <cell r="BT24">
            <v>1123.7940000000001</v>
          </cell>
          <cell r="BU24">
            <v>1253.2320000000002</v>
          </cell>
          <cell r="BV24">
            <v>1155.9780000000001</v>
          </cell>
          <cell r="BW24">
            <v>1160.6220000000001</v>
          </cell>
          <cell r="BX24">
            <v>1065.798</v>
          </cell>
          <cell r="BY24">
            <v>1875.0960000000002</v>
          </cell>
          <cell r="BZ24">
            <v>1472.2560000000001</v>
          </cell>
          <cell r="CA24">
            <v>1472.2560000000001</v>
          </cell>
          <cell r="CB24">
            <v>1585.7640000000004</v>
          </cell>
          <cell r="CC24">
            <v>1622.7</v>
          </cell>
          <cell r="CD24">
            <v>1430.8920000000003</v>
          </cell>
          <cell r="CE24">
            <v>1496.3940000000002</v>
          </cell>
          <cell r="CF24">
            <v>1512.162</v>
          </cell>
          <cell r="CG24">
            <v>956.77200000000005</v>
          </cell>
          <cell r="CH24">
            <v>975.13200000000018</v>
          </cell>
          <cell r="CI24">
            <v>975.13200000000018</v>
          </cell>
          <cell r="CJ24">
            <v>1692.1559999999999</v>
          </cell>
          <cell r="CK24">
            <v>1692.1559999999999</v>
          </cell>
          <cell r="CL24">
            <v>1692.1559999999999</v>
          </cell>
          <cell r="CM24">
            <v>975.13200000000018</v>
          </cell>
          <cell r="CN24">
            <v>975.13200000000018</v>
          </cell>
        </row>
        <row r="25">
          <cell r="E25">
            <v>0.69</v>
          </cell>
          <cell r="M25">
            <v>748.55919243711185</v>
          </cell>
          <cell r="N25">
            <v>898.27103092453422</v>
          </cell>
          <cell r="O25">
            <v>898.27103092453422</v>
          </cell>
          <cell r="U25">
            <v>753.12999999999988</v>
          </cell>
          <cell r="V25">
            <v>1676.83</v>
          </cell>
          <cell r="W25" t="str">
            <v>未</v>
          </cell>
          <cell r="X25" t="str">
            <v>未</v>
          </cell>
          <cell r="Y25" t="str">
            <v>未</v>
          </cell>
          <cell r="Z25" t="str">
            <v>未</v>
          </cell>
          <cell r="AA25" t="str">
            <v>未</v>
          </cell>
          <cell r="AB25">
            <v>916.81</v>
          </cell>
          <cell r="AC25" t="str">
            <v>未</v>
          </cell>
          <cell r="AD25" t="str">
            <v>未</v>
          </cell>
          <cell r="AE25">
            <v>945.2</v>
          </cell>
          <cell r="AF25">
            <v>941.37</v>
          </cell>
          <cell r="AG25">
            <v>963.68</v>
          </cell>
          <cell r="AH25">
            <v>942.47</v>
          </cell>
          <cell r="AI25">
            <v>890.89</v>
          </cell>
          <cell r="AJ25">
            <v>923.03</v>
          </cell>
          <cell r="AK25">
            <v>852.27</v>
          </cell>
          <cell r="AL25">
            <v>1495.04</v>
          </cell>
          <cell r="AM25">
            <v>819.43</v>
          </cell>
          <cell r="AN25">
            <v>1158.94</v>
          </cell>
          <cell r="AO25">
            <v>1158.94</v>
          </cell>
          <cell r="AP25">
            <v>1232.3599999999999</v>
          </cell>
          <cell r="AQ25">
            <v>1260.5</v>
          </cell>
          <cell r="AR25">
            <v>1260.5</v>
          </cell>
          <cell r="AS25">
            <v>1096.58</v>
          </cell>
          <cell r="AT25">
            <v>1170.06</v>
          </cell>
          <cell r="AU25">
            <v>1185.3800000000001</v>
          </cell>
          <cell r="AV25">
            <v>804.53</v>
          </cell>
          <cell r="AW25">
            <v>819.43</v>
          </cell>
          <cell r="AX25">
            <v>819.43</v>
          </cell>
          <cell r="AY25">
            <v>1526.56</v>
          </cell>
          <cell r="AZ25">
            <v>1526.56</v>
          </cell>
          <cell r="BA25" t="str">
            <v>未</v>
          </cell>
          <cell r="BB25" t="str">
            <v>未</v>
          </cell>
          <cell r="BC25" t="str">
            <v>未</v>
          </cell>
          <cell r="BD25" t="str">
            <v>未</v>
          </cell>
          <cell r="BE25" t="str">
            <v>未</v>
          </cell>
          <cell r="BF25">
            <v>819.43</v>
          </cell>
          <cell r="BG25">
            <v>819.43</v>
          </cell>
          <cell r="BH25" t="str">
            <v>未</v>
          </cell>
          <cell r="BI25">
            <v>1526.56</v>
          </cell>
          <cell r="BJ25">
            <v>819.43</v>
          </cell>
          <cell r="BK25">
            <v>819.43</v>
          </cell>
          <cell r="BL25">
            <v>753.12999999999988</v>
          </cell>
          <cell r="BM25">
            <v>1495.04</v>
          </cell>
          <cell r="BR25">
            <v>1016.7254999999999</v>
          </cell>
          <cell r="BS25">
            <v>2263.7204999999999</v>
          </cell>
          <cell r="BT25">
            <v>1237.6935000000001</v>
          </cell>
          <cell r="BU25">
            <v>1300.9680000000001</v>
          </cell>
          <cell r="BV25">
            <v>1272.3345000000002</v>
          </cell>
          <cell r="BW25">
            <v>1246.0905</v>
          </cell>
          <cell r="BX25">
            <v>1150.5645</v>
          </cell>
          <cell r="BY25">
            <v>2018.3040000000001</v>
          </cell>
          <cell r="BZ25">
            <v>1564.5690000000002</v>
          </cell>
          <cell r="CA25">
            <v>1564.5690000000002</v>
          </cell>
          <cell r="CB25">
            <v>1663.6859999999999</v>
          </cell>
          <cell r="CC25">
            <v>1701.6750000000002</v>
          </cell>
          <cell r="CD25">
            <v>1480.383</v>
          </cell>
          <cell r="CE25">
            <v>1579.5810000000001</v>
          </cell>
          <cell r="CF25">
            <v>1600.2630000000001</v>
          </cell>
          <cell r="CG25">
            <v>1086.1155000000001</v>
          </cell>
          <cell r="CH25">
            <v>1106.2304999999999</v>
          </cell>
          <cell r="CI25">
            <v>1106.2304999999999</v>
          </cell>
          <cell r="CJ25">
            <v>1755.5439999999999</v>
          </cell>
          <cell r="CK25">
            <v>1755.5439999999999</v>
          </cell>
          <cell r="CL25">
            <v>1755.5439999999999</v>
          </cell>
          <cell r="CM25">
            <v>1106.2304999999999</v>
          </cell>
          <cell r="CN25">
            <v>1106.2304999999999</v>
          </cell>
        </row>
        <row r="26">
          <cell r="E26">
            <v>0.8</v>
          </cell>
          <cell r="M26">
            <v>842.2239060612302</v>
          </cell>
          <cell r="N26">
            <v>1010.6686872734762</v>
          </cell>
          <cell r="O26">
            <v>1010.6686872734762</v>
          </cell>
          <cell r="U26">
            <v>827.6</v>
          </cell>
          <cell r="V26">
            <v>1820.6000000000001</v>
          </cell>
          <cell r="W26" t="str">
            <v>未</v>
          </cell>
          <cell r="X26" t="str">
            <v>未</v>
          </cell>
          <cell r="Y26" t="str">
            <v>未</v>
          </cell>
          <cell r="Z26" t="str">
            <v>未</v>
          </cell>
          <cell r="AA26" t="str">
            <v>未</v>
          </cell>
          <cell r="AB26">
            <v>988.2</v>
          </cell>
          <cell r="AC26" t="str">
            <v>未</v>
          </cell>
          <cell r="AD26" t="str">
            <v>未</v>
          </cell>
          <cell r="AE26">
            <v>976</v>
          </cell>
          <cell r="AF26">
            <v>982.40000000000009</v>
          </cell>
          <cell r="AG26">
            <v>993.6</v>
          </cell>
          <cell r="AH26">
            <v>1015.4</v>
          </cell>
          <cell r="AI26">
            <v>943.8</v>
          </cell>
          <cell r="AJ26">
            <v>976.6</v>
          </cell>
          <cell r="AK26">
            <v>905.40000000000009</v>
          </cell>
          <cell r="AL26">
            <v>1584.8000000000002</v>
          </cell>
          <cell r="AM26">
            <v>901.6</v>
          </cell>
          <cell r="AN26">
            <v>1216.8</v>
          </cell>
          <cell r="AO26">
            <v>1216.8</v>
          </cell>
          <cell r="AP26">
            <v>1281.2</v>
          </cell>
          <cell r="AQ26">
            <v>1310</v>
          </cell>
          <cell r="AR26">
            <v>1310</v>
          </cell>
          <cell r="AS26">
            <v>1127.5999999999999</v>
          </cell>
          <cell r="AT26">
            <v>1222.2</v>
          </cell>
          <cell r="AU26">
            <v>1240.5999999999999</v>
          </cell>
          <cell r="AV26">
            <v>885.6</v>
          </cell>
          <cell r="AW26">
            <v>901.6</v>
          </cell>
          <cell r="AX26">
            <v>901.6</v>
          </cell>
          <cell r="AY26">
            <v>1573.2</v>
          </cell>
          <cell r="AZ26">
            <v>1573.2</v>
          </cell>
          <cell r="BA26" t="str">
            <v>未</v>
          </cell>
          <cell r="BB26" t="str">
            <v>未</v>
          </cell>
          <cell r="BC26" t="str">
            <v>未</v>
          </cell>
          <cell r="BD26" t="str">
            <v>未</v>
          </cell>
          <cell r="BE26" t="str">
            <v>未</v>
          </cell>
          <cell r="BF26">
            <v>901.6</v>
          </cell>
          <cell r="BG26">
            <v>901.6</v>
          </cell>
          <cell r="BH26" t="str">
            <v>未</v>
          </cell>
          <cell r="BI26">
            <v>1573.2</v>
          </cell>
          <cell r="BJ26">
            <v>901.6</v>
          </cell>
          <cell r="BK26">
            <v>901.6</v>
          </cell>
          <cell r="BL26">
            <v>827.6</v>
          </cell>
          <cell r="BM26">
            <v>1584.8000000000002</v>
          </cell>
          <cell r="BR26">
            <v>1117.26</v>
          </cell>
          <cell r="BS26">
            <v>2457.8100000000004</v>
          </cell>
          <cell r="BT26">
            <v>1334.0700000000002</v>
          </cell>
          <cell r="BU26">
            <v>1341.3600000000001</v>
          </cell>
          <cell r="BV26">
            <v>1370.79</v>
          </cell>
          <cell r="BW26">
            <v>1318.41</v>
          </cell>
          <cell r="BX26">
            <v>1222.2900000000002</v>
          </cell>
          <cell r="BY26">
            <v>2139.4800000000005</v>
          </cell>
          <cell r="BZ26">
            <v>1642.68</v>
          </cell>
          <cell r="CA26">
            <v>1642.68</v>
          </cell>
          <cell r="CB26">
            <v>1729.6200000000001</v>
          </cell>
          <cell r="CC26">
            <v>1768.5000000000002</v>
          </cell>
          <cell r="CD26">
            <v>1522.26</v>
          </cell>
          <cell r="CE26">
            <v>1649.9700000000003</v>
          </cell>
          <cell r="CF26">
            <v>1674.81</v>
          </cell>
          <cell r="CG26">
            <v>1195.5600000000002</v>
          </cell>
          <cell r="CH26">
            <v>1217.1600000000001</v>
          </cell>
          <cell r="CI26">
            <v>1217.1600000000001</v>
          </cell>
          <cell r="CJ26">
            <v>1809.1799999999998</v>
          </cell>
          <cell r="CK26">
            <v>1809.1799999999998</v>
          </cell>
          <cell r="CL26">
            <v>1809.1799999999998</v>
          </cell>
          <cell r="CM26">
            <v>1217.1600000000001</v>
          </cell>
          <cell r="CN26">
            <v>1217.1600000000001</v>
          </cell>
        </row>
        <row r="27">
          <cell r="E27">
            <v>1</v>
          </cell>
          <cell r="M27">
            <v>1012.5233853778087</v>
          </cell>
          <cell r="N27">
            <v>1215.0280624533705</v>
          </cell>
          <cell r="O27">
            <v>1215.0280624533705</v>
          </cell>
          <cell r="U27">
            <v>963</v>
          </cell>
          <cell r="V27">
            <v>2082</v>
          </cell>
          <cell r="W27" t="str">
            <v>未</v>
          </cell>
          <cell r="X27" t="str">
            <v>未</v>
          </cell>
          <cell r="Y27" t="str">
            <v>未</v>
          </cell>
          <cell r="Z27" t="str">
            <v>未</v>
          </cell>
          <cell r="AA27" t="str">
            <v>未</v>
          </cell>
          <cell r="AB27">
            <v>1118</v>
          </cell>
          <cell r="AC27" t="str">
            <v>未</v>
          </cell>
          <cell r="AD27" t="str">
            <v>未</v>
          </cell>
          <cell r="AE27">
            <v>1032</v>
          </cell>
          <cell r="AF27">
            <v>1057</v>
          </cell>
          <cell r="AG27">
            <v>1048</v>
          </cell>
          <cell r="AH27">
            <v>1148</v>
          </cell>
          <cell r="AI27">
            <v>1040</v>
          </cell>
          <cell r="AJ27">
            <v>1074</v>
          </cell>
          <cell r="AK27">
            <v>1002</v>
          </cell>
          <cell r="AL27">
            <v>1748</v>
          </cell>
          <cell r="AM27">
            <v>1051</v>
          </cell>
          <cell r="AN27">
            <v>1322</v>
          </cell>
          <cell r="AO27">
            <v>1322</v>
          </cell>
          <cell r="AP27">
            <v>1370</v>
          </cell>
          <cell r="AQ27">
            <v>1400</v>
          </cell>
          <cell r="AR27">
            <v>1400</v>
          </cell>
          <cell r="AS27">
            <v>1184</v>
          </cell>
          <cell r="AT27">
            <v>1317</v>
          </cell>
          <cell r="AU27">
            <v>1341</v>
          </cell>
          <cell r="AV27">
            <v>1033</v>
          </cell>
          <cell r="AW27">
            <v>1051</v>
          </cell>
          <cell r="AX27">
            <v>1051</v>
          </cell>
          <cell r="AY27">
            <v>1658</v>
          </cell>
          <cell r="AZ27">
            <v>1658</v>
          </cell>
          <cell r="BA27" t="str">
            <v>未</v>
          </cell>
          <cell r="BB27" t="str">
            <v>未</v>
          </cell>
          <cell r="BC27" t="str">
            <v>未</v>
          </cell>
          <cell r="BD27" t="str">
            <v>未</v>
          </cell>
          <cell r="BE27" t="str">
            <v>未</v>
          </cell>
          <cell r="BF27">
            <v>1051</v>
          </cell>
          <cell r="BG27">
            <v>1051</v>
          </cell>
          <cell r="BH27" t="str">
            <v>未</v>
          </cell>
          <cell r="BI27">
            <v>1658</v>
          </cell>
          <cell r="BJ27">
            <v>1051</v>
          </cell>
          <cell r="BK27">
            <v>1051</v>
          </cell>
          <cell r="BL27">
            <v>963</v>
          </cell>
          <cell r="BM27">
            <v>1748</v>
          </cell>
          <cell r="BR27">
            <v>1300.0500000000002</v>
          </cell>
          <cell r="BS27">
            <v>2810.7000000000003</v>
          </cell>
          <cell r="BT27">
            <v>1509.3000000000002</v>
          </cell>
          <cell r="BU27">
            <v>1414.8000000000002</v>
          </cell>
          <cell r="BV27">
            <v>1549.8000000000002</v>
          </cell>
          <cell r="BW27">
            <v>1449.9</v>
          </cell>
          <cell r="BX27">
            <v>1352.7</v>
          </cell>
          <cell r="BY27">
            <v>2359.8000000000002</v>
          </cell>
          <cell r="BZ27">
            <v>1784.7</v>
          </cell>
          <cell r="CA27">
            <v>1784.7</v>
          </cell>
          <cell r="CB27">
            <v>1849.5000000000002</v>
          </cell>
          <cell r="CC27">
            <v>1890.0000000000002</v>
          </cell>
          <cell r="CD27">
            <v>1598.4</v>
          </cell>
          <cell r="CE27">
            <v>1777.95</v>
          </cell>
          <cell r="CF27">
            <v>1810.3500000000001</v>
          </cell>
          <cell r="CG27">
            <v>1394.5500000000002</v>
          </cell>
          <cell r="CH27">
            <v>1418.8500000000001</v>
          </cell>
          <cell r="CI27">
            <v>1418.8500000000001</v>
          </cell>
          <cell r="CJ27">
            <v>1906.6999999999998</v>
          </cell>
          <cell r="CK27">
            <v>1906.6999999999998</v>
          </cell>
          <cell r="CL27">
            <v>1906.6999999999998</v>
          </cell>
          <cell r="CM27">
            <v>1418.8500000000001</v>
          </cell>
          <cell r="CN27">
            <v>1418.8500000000001</v>
          </cell>
        </row>
        <row r="28">
          <cell r="E28">
            <v>0.72</v>
          </cell>
          <cell r="M28">
            <v>796.29757147248711</v>
          </cell>
          <cell r="N28">
            <v>955.55708576698453</v>
          </cell>
          <cell r="O28">
            <v>955.55708576698453</v>
          </cell>
          <cell r="U28">
            <v>773.44</v>
          </cell>
          <cell r="V28">
            <v>1716.04</v>
          </cell>
          <cell r="W28" t="str">
            <v>未</v>
          </cell>
          <cell r="X28" t="str">
            <v>未</v>
          </cell>
          <cell r="Y28" t="str">
            <v>未</v>
          </cell>
          <cell r="Z28" t="str">
            <v>未</v>
          </cell>
          <cell r="AA28" t="str">
            <v>未</v>
          </cell>
          <cell r="AB28">
            <v>936.28</v>
          </cell>
          <cell r="AC28" t="str">
            <v>未</v>
          </cell>
          <cell r="AD28" t="str">
            <v>未</v>
          </cell>
          <cell r="AE28">
            <v>953.6</v>
          </cell>
          <cell r="AF28">
            <v>952.56</v>
          </cell>
          <cell r="AG28">
            <v>971.84</v>
          </cell>
          <cell r="AH28">
            <v>962.3599999999999</v>
          </cell>
          <cell r="AI28">
            <v>905.31999999999994</v>
          </cell>
          <cell r="AJ28">
            <v>937.64</v>
          </cell>
          <cell r="AK28">
            <v>866.76</v>
          </cell>
          <cell r="AL28">
            <v>1519.52</v>
          </cell>
          <cell r="AM28">
            <v>841.84</v>
          </cell>
          <cell r="AN28">
            <v>1174.72</v>
          </cell>
          <cell r="AO28">
            <v>1174.72</v>
          </cell>
          <cell r="AP28">
            <v>1245.68</v>
          </cell>
          <cell r="AQ28">
            <v>1274</v>
          </cell>
          <cell r="AR28">
            <v>1274</v>
          </cell>
          <cell r="AS28">
            <v>1105.04</v>
          </cell>
          <cell r="AT28">
            <v>1184.28</v>
          </cell>
          <cell r="AU28">
            <v>1200.44</v>
          </cell>
          <cell r="AV28">
            <v>826.64</v>
          </cell>
          <cell r="AW28">
            <v>841.84</v>
          </cell>
          <cell r="AX28">
            <v>841.84</v>
          </cell>
          <cell r="AY28">
            <v>1539.28</v>
          </cell>
          <cell r="AZ28">
            <v>1539.28</v>
          </cell>
          <cell r="BA28" t="str">
            <v>未</v>
          </cell>
          <cell r="BB28" t="str">
            <v>未</v>
          </cell>
          <cell r="BC28" t="str">
            <v>未</v>
          </cell>
          <cell r="BD28" t="str">
            <v>未</v>
          </cell>
          <cell r="BE28" t="str">
            <v>未</v>
          </cell>
          <cell r="BF28">
            <v>841.84</v>
          </cell>
          <cell r="BG28">
            <v>841.84</v>
          </cell>
          <cell r="BH28" t="str">
            <v>未</v>
          </cell>
          <cell r="BI28">
            <v>1539.28</v>
          </cell>
          <cell r="BJ28">
            <v>841.84</v>
          </cell>
          <cell r="BK28">
            <v>841.84</v>
          </cell>
          <cell r="BL28">
            <v>773.44</v>
          </cell>
          <cell r="BM28">
            <v>1519.52</v>
          </cell>
          <cell r="BR28">
            <v>1044.1440000000002</v>
          </cell>
          <cell r="BS28">
            <v>2316.654</v>
          </cell>
          <cell r="BT28">
            <v>1263.9780000000001</v>
          </cell>
          <cell r="BU28">
            <v>1311.9840000000002</v>
          </cell>
          <cell r="BV28">
            <v>1299.1859999999999</v>
          </cell>
          <cell r="BW28">
            <v>1265.8140000000001</v>
          </cell>
          <cell r="BX28">
            <v>1170.126</v>
          </cell>
          <cell r="BY28">
            <v>2051.3520000000003</v>
          </cell>
          <cell r="BZ28">
            <v>1585.8720000000001</v>
          </cell>
          <cell r="CA28">
            <v>1585.8720000000001</v>
          </cell>
          <cell r="CB28">
            <v>1681.6680000000001</v>
          </cell>
          <cell r="CC28">
            <v>1719.9</v>
          </cell>
          <cell r="CD28">
            <v>1491.8040000000001</v>
          </cell>
          <cell r="CE28">
            <v>1598.778</v>
          </cell>
          <cell r="CF28">
            <v>1620.5940000000003</v>
          </cell>
          <cell r="CG28">
            <v>1115.9639999999999</v>
          </cell>
          <cell r="CH28">
            <v>1136.4840000000002</v>
          </cell>
          <cell r="CI28">
            <v>1136.4840000000002</v>
          </cell>
          <cell r="CJ28">
            <v>1770.1719999999998</v>
          </cell>
          <cell r="CK28">
            <v>1770.1719999999998</v>
          </cell>
          <cell r="CL28">
            <v>1770.1719999999998</v>
          </cell>
          <cell r="CM28">
            <v>1136.4840000000002</v>
          </cell>
          <cell r="CN28">
            <v>1136.4840000000002</v>
          </cell>
        </row>
        <row r="29">
          <cell r="E29">
            <v>1.04</v>
          </cell>
          <cell r="M29">
            <v>1114.4875499538889</v>
          </cell>
          <cell r="N29">
            <v>1337.3850599446666</v>
          </cell>
          <cell r="O29">
            <v>1337.3850599446666</v>
          </cell>
          <cell r="U29">
            <v>990.08</v>
          </cell>
          <cell r="V29">
            <v>2134.2799999999997</v>
          </cell>
          <cell r="W29" t="str">
            <v>未</v>
          </cell>
          <cell r="X29" t="str">
            <v>未</v>
          </cell>
          <cell r="Y29" t="str">
            <v>未</v>
          </cell>
          <cell r="Z29" t="str">
            <v>未</v>
          </cell>
          <cell r="AA29" t="str">
            <v>未</v>
          </cell>
          <cell r="AB29">
            <v>1143.96</v>
          </cell>
          <cell r="AC29" t="str">
            <v>未</v>
          </cell>
          <cell r="AD29" t="str">
            <v>未</v>
          </cell>
          <cell r="AE29">
            <v>1043.2</v>
          </cell>
          <cell r="AF29">
            <v>1071.92</v>
          </cell>
          <cell r="AG29">
            <v>1058.8800000000001</v>
          </cell>
          <cell r="AH29">
            <v>1174.52</v>
          </cell>
          <cell r="AI29">
            <v>1059.24</v>
          </cell>
          <cell r="AJ29">
            <v>1093.48</v>
          </cell>
          <cell r="AK29">
            <v>1021.3199999999999</v>
          </cell>
          <cell r="AL29">
            <v>1780.6399999999999</v>
          </cell>
          <cell r="AM29">
            <v>1080.8800000000001</v>
          </cell>
          <cell r="AN29">
            <v>1343.04</v>
          </cell>
          <cell r="AO29">
            <v>1343.04</v>
          </cell>
          <cell r="AP29">
            <v>1387.76</v>
          </cell>
          <cell r="AQ29">
            <v>1418</v>
          </cell>
          <cell r="AR29">
            <v>1418</v>
          </cell>
          <cell r="AS29">
            <v>1195.28</v>
          </cell>
          <cell r="AT29">
            <v>1335.96</v>
          </cell>
          <cell r="AU29">
            <v>1361.08</v>
          </cell>
          <cell r="AV29">
            <v>1062.48</v>
          </cell>
          <cell r="AW29">
            <v>1080.8800000000001</v>
          </cell>
          <cell r="AX29">
            <v>1080.8800000000001</v>
          </cell>
          <cell r="AY29">
            <v>1674.96</v>
          </cell>
          <cell r="AZ29">
            <v>1674.96</v>
          </cell>
          <cell r="BA29" t="str">
            <v>未</v>
          </cell>
          <cell r="BB29" t="str">
            <v>未</v>
          </cell>
          <cell r="BC29" t="str">
            <v>未</v>
          </cell>
          <cell r="BD29" t="str">
            <v>未</v>
          </cell>
          <cell r="BE29" t="str">
            <v>未</v>
          </cell>
          <cell r="BF29">
            <v>1080.8800000000001</v>
          </cell>
          <cell r="BG29">
            <v>1080.8800000000001</v>
          </cell>
          <cell r="BH29" t="str">
            <v>未</v>
          </cell>
          <cell r="BI29">
            <v>1674.96</v>
          </cell>
          <cell r="BJ29">
            <v>1080.8800000000001</v>
          </cell>
          <cell r="BK29">
            <v>1080.8800000000001</v>
          </cell>
          <cell r="BL29">
            <v>990.08</v>
          </cell>
          <cell r="BM29">
            <v>1780.6399999999999</v>
          </cell>
          <cell r="BR29">
            <v>1336.6080000000002</v>
          </cell>
          <cell r="BS29">
            <v>2881.2779999999998</v>
          </cell>
          <cell r="BT29">
            <v>1544.3460000000002</v>
          </cell>
          <cell r="BU29">
            <v>1429.4880000000003</v>
          </cell>
          <cell r="BV29">
            <v>1585.6020000000001</v>
          </cell>
          <cell r="BW29">
            <v>1476.1980000000001</v>
          </cell>
          <cell r="BX29">
            <v>1378.7819999999999</v>
          </cell>
          <cell r="BY29">
            <v>2403.864</v>
          </cell>
          <cell r="BZ29">
            <v>1813.104</v>
          </cell>
          <cell r="CA29">
            <v>1813.104</v>
          </cell>
          <cell r="CB29">
            <v>1873.4760000000001</v>
          </cell>
          <cell r="CC29">
            <v>1914.3000000000002</v>
          </cell>
          <cell r="CD29">
            <v>1613.6280000000002</v>
          </cell>
          <cell r="CE29">
            <v>1803.5460000000003</v>
          </cell>
          <cell r="CF29">
            <v>1837.4580000000001</v>
          </cell>
          <cell r="CG29">
            <v>1434.3480000000002</v>
          </cell>
          <cell r="CH29">
            <v>1459.1880000000003</v>
          </cell>
          <cell r="CI29">
            <v>1459.1880000000003</v>
          </cell>
          <cell r="CJ29">
            <v>1926.204</v>
          </cell>
          <cell r="CK29">
            <v>1926.204</v>
          </cell>
          <cell r="CL29">
            <v>1926.204</v>
          </cell>
          <cell r="CM29">
            <v>1459.1880000000003</v>
          </cell>
          <cell r="CN29">
            <v>1459.1880000000003</v>
          </cell>
        </row>
        <row r="30">
          <cell r="E30">
            <v>1.29</v>
          </cell>
          <cell r="M30">
            <v>1363.0734706424837</v>
          </cell>
          <cell r="N30">
            <v>1635.6881647709804</v>
          </cell>
          <cell r="O30">
            <v>1635.6881647709804</v>
          </cell>
          <cell r="U30">
            <v>1159.33</v>
          </cell>
          <cell r="V30">
            <v>2461.0299999999997</v>
          </cell>
          <cell r="W30" t="str">
            <v>未</v>
          </cell>
          <cell r="X30" t="str">
            <v>未</v>
          </cell>
          <cell r="Y30" t="str">
            <v>未</v>
          </cell>
          <cell r="Z30" t="str">
            <v>未</v>
          </cell>
          <cell r="AA30" t="str">
            <v>未</v>
          </cell>
          <cell r="AB30">
            <v>1306.21</v>
          </cell>
          <cell r="AC30" t="str">
            <v>未</v>
          </cell>
          <cell r="AD30" t="str">
            <v>未</v>
          </cell>
          <cell r="AE30">
            <v>1113.2</v>
          </cell>
          <cell r="AF30">
            <v>1165.17</v>
          </cell>
          <cell r="AG30">
            <v>1126.8800000000001</v>
          </cell>
          <cell r="AH30">
            <v>1340.27</v>
          </cell>
          <cell r="AI30">
            <v>1179.49</v>
          </cell>
          <cell r="AJ30">
            <v>1215.23</v>
          </cell>
          <cell r="AK30">
            <v>1142.0700000000002</v>
          </cell>
          <cell r="AL30">
            <v>1984.64</v>
          </cell>
          <cell r="AM30">
            <v>1267.6300000000001</v>
          </cell>
          <cell r="AN30">
            <v>1474.54</v>
          </cell>
          <cell r="AO30">
            <v>1474.54</v>
          </cell>
          <cell r="AP30">
            <v>1498.76</v>
          </cell>
          <cell r="AQ30">
            <v>1530.5</v>
          </cell>
          <cell r="AR30">
            <v>1530.5</v>
          </cell>
          <cell r="AS30">
            <v>1265.78</v>
          </cell>
          <cell r="AT30">
            <v>1454.46</v>
          </cell>
          <cell r="AU30">
            <v>1486.58</v>
          </cell>
          <cell r="AV30">
            <v>1246.73</v>
          </cell>
          <cell r="AW30">
            <v>1267.6300000000001</v>
          </cell>
          <cell r="AX30">
            <v>1267.6300000000001</v>
          </cell>
          <cell r="AY30">
            <v>1780.96</v>
          </cell>
          <cell r="AZ30">
            <v>1780.96</v>
          </cell>
          <cell r="BA30" t="str">
            <v>未</v>
          </cell>
          <cell r="BB30" t="str">
            <v>未</v>
          </cell>
          <cell r="BC30" t="str">
            <v>未</v>
          </cell>
          <cell r="BD30" t="str">
            <v>未</v>
          </cell>
          <cell r="BE30" t="str">
            <v>未</v>
          </cell>
          <cell r="BF30">
            <v>1267.6300000000001</v>
          </cell>
          <cell r="BG30">
            <v>1267.6300000000001</v>
          </cell>
          <cell r="BH30" t="str">
            <v>未</v>
          </cell>
          <cell r="BI30">
            <v>1780.96</v>
          </cell>
          <cell r="BJ30">
            <v>1267.6300000000001</v>
          </cell>
          <cell r="BK30">
            <v>1267.6300000000001</v>
          </cell>
          <cell r="BL30">
            <v>1159.33</v>
          </cell>
          <cell r="BM30">
            <v>1984.64</v>
          </cell>
          <cell r="BR30">
            <v>1565.0954999999999</v>
          </cell>
          <cell r="BS30">
            <v>3322.3905</v>
          </cell>
          <cell r="BT30">
            <v>1763.3835000000001</v>
          </cell>
          <cell r="BU30">
            <v>1521.2880000000002</v>
          </cell>
          <cell r="BV30">
            <v>1809.3645000000001</v>
          </cell>
          <cell r="BW30">
            <v>1640.5605</v>
          </cell>
          <cell r="BX30">
            <v>1541.7945000000004</v>
          </cell>
          <cell r="BY30">
            <v>2679.2640000000001</v>
          </cell>
          <cell r="BZ30">
            <v>1990.6290000000001</v>
          </cell>
          <cell r="CA30">
            <v>1990.6290000000001</v>
          </cell>
          <cell r="CB30">
            <v>2023.326</v>
          </cell>
          <cell r="CC30">
            <v>2066.1750000000002</v>
          </cell>
          <cell r="CD30">
            <v>1708.8030000000001</v>
          </cell>
          <cell r="CE30">
            <v>1963.5210000000002</v>
          </cell>
          <cell r="CF30">
            <v>2006.883</v>
          </cell>
          <cell r="CG30">
            <v>1683.0855000000001</v>
          </cell>
          <cell r="CH30">
            <v>1711.3005000000003</v>
          </cell>
          <cell r="CI30">
            <v>1711.3005000000003</v>
          </cell>
          <cell r="CJ30">
            <v>2048.1039999999998</v>
          </cell>
          <cell r="CK30">
            <v>2048.1039999999998</v>
          </cell>
          <cell r="CL30">
            <v>2048.1039999999998</v>
          </cell>
          <cell r="CM30">
            <v>1711.3005000000003</v>
          </cell>
          <cell r="CN30">
            <v>1711.3005000000003</v>
          </cell>
        </row>
      </sheetData>
      <sheetData sheetId="10" refreshError="1">
        <row r="5">
          <cell r="G5">
            <v>0.5</v>
          </cell>
          <cell r="H5">
            <v>0.8</v>
          </cell>
          <cell r="I5">
            <v>1</v>
          </cell>
          <cell r="J5">
            <v>1.3</v>
          </cell>
          <cell r="K5">
            <v>1.44</v>
          </cell>
          <cell r="L5">
            <v>1.6</v>
          </cell>
          <cell r="M5">
            <v>1</v>
          </cell>
          <cell r="N5">
            <v>1.6</v>
          </cell>
          <cell r="O5">
            <v>2</v>
          </cell>
          <cell r="P5">
            <v>2.6</v>
          </cell>
        </row>
        <row r="6">
          <cell r="C6" t="str">
            <v>1Bed</v>
          </cell>
          <cell r="G6">
            <v>3268</v>
          </cell>
          <cell r="H6">
            <v>3413</v>
          </cell>
          <cell r="I6">
            <v>3525</v>
          </cell>
          <cell r="J6">
            <v>3630</v>
          </cell>
          <cell r="K6">
            <v>3870</v>
          </cell>
          <cell r="L6">
            <v>4467.6923076923076</v>
          </cell>
        </row>
        <row r="7">
          <cell r="C7" t="str">
            <v>2Bed</v>
          </cell>
          <cell r="G7">
            <v>4030</v>
          </cell>
          <cell r="H7">
            <v>4175</v>
          </cell>
          <cell r="I7">
            <v>4287</v>
          </cell>
          <cell r="J7">
            <v>4392</v>
          </cell>
          <cell r="K7">
            <v>4632</v>
          </cell>
          <cell r="L7">
            <v>5229.6923076923076</v>
          </cell>
        </row>
        <row r="15">
          <cell r="F15">
            <v>0.5</v>
          </cell>
          <cell r="M15">
            <v>1605</v>
          </cell>
          <cell r="N15">
            <v>1775</v>
          </cell>
          <cell r="O15">
            <v>1813</v>
          </cell>
          <cell r="P15">
            <v>1813</v>
          </cell>
        </row>
        <row r="16">
          <cell r="F16">
            <v>0.8</v>
          </cell>
          <cell r="M16">
            <v>1674</v>
          </cell>
          <cell r="N16">
            <v>1844</v>
          </cell>
          <cell r="O16">
            <v>1882</v>
          </cell>
          <cell r="P16">
            <v>1882</v>
          </cell>
        </row>
        <row r="17">
          <cell r="F17">
            <v>1</v>
          </cell>
          <cell r="M17">
            <v>1720</v>
          </cell>
          <cell r="N17">
            <v>1890</v>
          </cell>
          <cell r="O17">
            <v>1928</v>
          </cell>
          <cell r="P17">
            <v>1928</v>
          </cell>
        </row>
        <row r="18">
          <cell r="F18">
            <v>1.31</v>
          </cell>
          <cell r="M18"/>
          <cell r="N18">
            <v>1961.3</v>
          </cell>
          <cell r="O18">
            <v>1999.3</v>
          </cell>
          <cell r="P18">
            <v>1999.3</v>
          </cell>
        </row>
        <row r="19">
          <cell r="F19">
            <v>0.52</v>
          </cell>
          <cell r="M19">
            <v>1609.6</v>
          </cell>
          <cell r="N19">
            <v>1779.6</v>
          </cell>
          <cell r="O19">
            <v>1817.6</v>
          </cell>
          <cell r="P19">
            <v>1817.6</v>
          </cell>
        </row>
        <row r="20">
          <cell r="F20">
            <v>0.79</v>
          </cell>
          <cell r="M20">
            <v>1671.7</v>
          </cell>
          <cell r="N20">
            <v>1841.7</v>
          </cell>
          <cell r="O20">
            <v>1879.7</v>
          </cell>
          <cell r="P20">
            <v>1879.7</v>
          </cell>
        </row>
        <row r="21">
          <cell r="F21">
            <v>1.05</v>
          </cell>
          <cell r="M21"/>
          <cell r="N21">
            <v>1901.5</v>
          </cell>
          <cell r="O21">
            <v>1939.5</v>
          </cell>
          <cell r="P21">
            <v>1939.5</v>
          </cell>
        </row>
        <row r="22">
          <cell r="F22">
            <v>1.32</v>
          </cell>
          <cell r="M22"/>
          <cell r="N22">
            <v>1963.6</v>
          </cell>
          <cell r="O22">
            <v>2001.6</v>
          </cell>
          <cell r="P22">
            <v>2001.6</v>
          </cell>
        </row>
        <row r="23">
          <cell r="F23">
            <v>0.8</v>
          </cell>
          <cell r="M23">
            <v>1674</v>
          </cell>
          <cell r="N23">
            <v>1844</v>
          </cell>
          <cell r="O23">
            <v>1882</v>
          </cell>
          <cell r="P23">
            <v>1882</v>
          </cell>
        </row>
        <row r="24">
          <cell r="F24">
            <v>0.67</v>
          </cell>
          <cell r="M24">
            <v>1644.1</v>
          </cell>
          <cell r="N24">
            <v>1814.1</v>
          </cell>
          <cell r="O24">
            <v>1852.1</v>
          </cell>
          <cell r="P24">
            <v>1852.1</v>
          </cell>
        </row>
        <row r="25">
          <cell r="F25">
            <v>0.51</v>
          </cell>
          <cell r="M25">
            <v>1607.3</v>
          </cell>
          <cell r="N25">
            <v>1777.3</v>
          </cell>
          <cell r="O25">
            <v>1815.3</v>
          </cell>
          <cell r="P25">
            <v>1815.3</v>
          </cell>
        </row>
        <row r="26">
          <cell r="F26">
            <v>0.56000000000000005</v>
          </cell>
          <cell r="M26">
            <v>1618.8</v>
          </cell>
          <cell r="N26">
            <v>1788.8</v>
          </cell>
          <cell r="O26">
            <v>1826.8</v>
          </cell>
          <cell r="P26">
            <v>1826.8</v>
          </cell>
        </row>
        <row r="27">
          <cell r="F27">
            <v>0.69</v>
          </cell>
          <cell r="M27">
            <v>1648.7</v>
          </cell>
          <cell r="N27">
            <v>1818.7</v>
          </cell>
          <cell r="O27">
            <v>1856.7</v>
          </cell>
          <cell r="P27">
            <v>1856.7</v>
          </cell>
        </row>
        <row r="28">
          <cell r="F28">
            <v>0.8</v>
          </cell>
          <cell r="M28">
            <v>1674</v>
          </cell>
          <cell r="N28">
            <v>1844</v>
          </cell>
          <cell r="O28">
            <v>1882</v>
          </cell>
          <cell r="P28">
            <v>1882</v>
          </cell>
        </row>
        <row r="29">
          <cell r="F29">
            <v>1</v>
          </cell>
          <cell r="M29">
            <v>1720</v>
          </cell>
          <cell r="N29">
            <v>1890</v>
          </cell>
          <cell r="O29">
            <v>1928</v>
          </cell>
          <cell r="P29">
            <v>1928</v>
          </cell>
        </row>
        <row r="30">
          <cell r="F30">
            <v>0.72</v>
          </cell>
          <cell r="M30">
            <v>1655.6</v>
          </cell>
          <cell r="N30">
            <v>1825.6</v>
          </cell>
          <cell r="O30">
            <v>1863.6</v>
          </cell>
          <cell r="P30">
            <v>1863.6</v>
          </cell>
        </row>
        <row r="31">
          <cell r="F31">
            <v>1.04</v>
          </cell>
          <cell r="M31"/>
          <cell r="N31">
            <v>1899.2</v>
          </cell>
          <cell r="O31">
            <v>1937.2</v>
          </cell>
          <cell r="P31">
            <v>1937.2</v>
          </cell>
        </row>
        <row r="32">
          <cell r="F32">
            <v>1.29</v>
          </cell>
          <cell r="M32"/>
          <cell r="N32">
            <v>1956.7</v>
          </cell>
          <cell r="O32">
            <v>1994.7</v>
          </cell>
          <cell r="P32">
            <v>1994.7</v>
          </cell>
        </row>
        <row r="35">
          <cell r="F35">
            <v>1</v>
          </cell>
          <cell r="M35">
            <v>1875.25</v>
          </cell>
          <cell r="N35">
            <v>2045.28</v>
          </cell>
          <cell r="O35">
            <v>2083.25</v>
          </cell>
          <cell r="P35">
            <v>2083.25</v>
          </cell>
        </row>
        <row r="36">
          <cell r="F36">
            <v>1.3</v>
          </cell>
          <cell r="M36"/>
          <cell r="N36">
            <v>2114.2800000000002</v>
          </cell>
          <cell r="O36">
            <v>2152.25</v>
          </cell>
          <cell r="P36">
            <v>2152.25</v>
          </cell>
        </row>
        <row r="37">
          <cell r="F37">
            <v>1.5</v>
          </cell>
          <cell r="M37"/>
          <cell r="N37">
            <v>2160.2800000000002</v>
          </cell>
          <cell r="O37">
            <v>2198.25</v>
          </cell>
          <cell r="P37">
            <v>2198.25</v>
          </cell>
        </row>
        <row r="38">
          <cell r="F38">
            <v>1.81</v>
          </cell>
          <cell r="M38"/>
          <cell r="N38"/>
          <cell r="O38">
            <v>2269.5500000000002</v>
          </cell>
          <cell r="P38">
            <v>2269.5500000000002</v>
          </cell>
        </row>
        <row r="39">
          <cell r="F39">
            <v>1.6</v>
          </cell>
          <cell r="M39"/>
          <cell r="N39">
            <v>2183.2800000000002</v>
          </cell>
          <cell r="O39">
            <v>2221.25</v>
          </cell>
          <cell r="P39">
            <v>2221.25</v>
          </cell>
        </row>
        <row r="40">
          <cell r="F40">
            <v>1.8</v>
          </cell>
          <cell r="M40"/>
          <cell r="N40"/>
          <cell r="O40">
            <v>2267.25</v>
          </cell>
          <cell r="P40">
            <v>2267.25</v>
          </cell>
        </row>
        <row r="41">
          <cell r="F41">
            <v>2.1100000000000003</v>
          </cell>
          <cell r="M41"/>
          <cell r="N41"/>
          <cell r="O41"/>
          <cell r="P41">
            <v>2338.5500000000002</v>
          </cell>
        </row>
        <row r="42">
          <cell r="F42">
            <v>2</v>
          </cell>
          <cell r="M42"/>
          <cell r="N42"/>
          <cell r="O42">
            <v>2313.25</v>
          </cell>
          <cell r="P42">
            <v>2313.25</v>
          </cell>
        </row>
        <row r="43">
          <cell r="F43">
            <v>2.31</v>
          </cell>
          <cell r="M43"/>
          <cell r="N43"/>
          <cell r="O43"/>
          <cell r="P43">
            <v>2384.5500000000002</v>
          </cell>
        </row>
        <row r="44">
          <cell r="F44">
            <v>2.62</v>
          </cell>
          <cell r="M44"/>
          <cell r="N44"/>
          <cell r="O44"/>
          <cell r="P44"/>
        </row>
        <row r="45">
          <cell r="F45">
            <v>1.04</v>
          </cell>
          <cell r="M45"/>
          <cell r="N45">
            <v>2054.48</v>
          </cell>
          <cell r="O45">
            <v>2092.4499999999998</v>
          </cell>
          <cell r="P45">
            <v>2092.4499999999998</v>
          </cell>
        </row>
        <row r="46">
          <cell r="F46">
            <v>1.31</v>
          </cell>
          <cell r="M46"/>
          <cell r="N46">
            <v>2116.58</v>
          </cell>
          <cell r="O46">
            <v>2154.5500000000002</v>
          </cell>
          <cell r="P46">
            <v>2154.5500000000002</v>
          </cell>
        </row>
        <row r="47">
          <cell r="F47">
            <v>1.57</v>
          </cell>
          <cell r="M47"/>
          <cell r="N47">
            <v>2176.38</v>
          </cell>
          <cell r="O47">
            <v>2214.35</v>
          </cell>
          <cell r="P47">
            <v>2214.35</v>
          </cell>
        </row>
        <row r="48">
          <cell r="F48">
            <v>1.84</v>
          </cell>
          <cell r="M48"/>
          <cell r="N48"/>
          <cell r="O48">
            <v>2276.4499999999998</v>
          </cell>
          <cell r="P48">
            <v>2276.4499999999998</v>
          </cell>
        </row>
        <row r="49">
          <cell r="F49">
            <v>1.58</v>
          </cell>
          <cell r="M49"/>
          <cell r="N49">
            <v>2178.6800000000003</v>
          </cell>
          <cell r="O49">
            <v>2216.65</v>
          </cell>
          <cell r="P49">
            <v>2216.65</v>
          </cell>
        </row>
        <row r="50">
          <cell r="F50">
            <v>1.84</v>
          </cell>
          <cell r="M50"/>
          <cell r="N50"/>
          <cell r="O50">
            <v>2276.4499999999998</v>
          </cell>
          <cell r="P50">
            <v>2276.4499999999998</v>
          </cell>
        </row>
        <row r="51">
          <cell r="F51">
            <v>2.1100000000000003</v>
          </cell>
          <cell r="M51"/>
          <cell r="N51"/>
          <cell r="O51"/>
          <cell r="P51">
            <v>2338.5500000000002</v>
          </cell>
        </row>
        <row r="52">
          <cell r="F52">
            <v>2.1</v>
          </cell>
          <cell r="M52"/>
          <cell r="N52"/>
          <cell r="O52"/>
          <cell r="P52">
            <v>2336.25</v>
          </cell>
        </row>
        <row r="53">
          <cell r="F53">
            <v>2.37</v>
          </cell>
          <cell r="M53"/>
          <cell r="N53"/>
          <cell r="O53"/>
          <cell r="P53">
            <v>2398.35</v>
          </cell>
        </row>
        <row r="54">
          <cell r="F54">
            <v>2.64</v>
          </cell>
          <cell r="M54"/>
          <cell r="N54"/>
          <cell r="O54"/>
          <cell r="P54"/>
        </row>
        <row r="55">
          <cell r="F55">
            <v>1.6</v>
          </cell>
          <cell r="M55"/>
          <cell r="N55">
            <v>2183.2800000000002</v>
          </cell>
          <cell r="O55">
            <v>2221.25</v>
          </cell>
          <cell r="P55">
            <v>2221.25</v>
          </cell>
        </row>
        <row r="56">
          <cell r="F56">
            <v>1.34</v>
          </cell>
          <cell r="M56"/>
          <cell r="N56">
            <v>2123.48</v>
          </cell>
          <cell r="O56">
            <v>2161.4499999999998</v>
          </cell>
          <cell r="P56">
            <v>2161.4499999999998</v>
          </cell>
        </row>
        <row r="57">
          <cell r="F57">
            <v>1.02</v>
          </cell>
          <cell r="M57"/>
          <cell r="N57">
            <v>2049.88</v>
          </cell>
          <cell r="O57">
            <v>2087.85</v>
          </cell>
          <cell r="P57">
            <v>2087.85</v>
          </cell>
        </row>
        <row r="58">
          <cell r="F58">
            <v>1.07</v>
          </cell>
          <cell r="M58"/>
          <cell r="N58">
            <v>2061.38</v>
          </cell>
          <cell r="O58">
            <v>2099.35</v>
          </cell>
          <cell r="P58">
            <v>2099.35</v>
          </cell>
        </row>
        <row r="59">
          <cell r="F59">
            <v>1.2</v>
          </cell>
          <cell r="M59"/>
          <cell r="N59">
            <v>2091.2800000000002</v>
          </cell>
          <cell r="O59">
            <v>2129.25</v>
          </cell>
          <cell r="P59">
            <v>2129.25</v>
          </cell>
        </row>
        <row r="60">
          <cell r="F60">
            <v>1.31</v>
          </cell>
          <cell r="M60"/>
          <cell r="N60">
            <v>2116.58</v>
          </cell>
          <cell r="O60">
            <v>2154.5500000000002</v>
          </cell>
          <cell r="P60">
            <v>2154.5500000000002</v>
          </cell>
        </row>
        <row r="61">
          <cell r="F61">
            <v>1.51</v>
          </cell>
          <cell r="M61"/>
          <cell r="N61">
            <v>2162.58</v>
          </cell>
          <cell r="O61">
            <v>2200.5500000000002</v>
          </cell>
          <cell r="P61">
            <v>2200.5500000000002</v>
          </cell>
        </row>
        <row r="62">
          <cell r="F62">
            <v>1.1200000000000001</v>
          </cell>
          <cell r="M62"/>
          <cell r="N62">
            <v>2072.88</v>
          </cell>
          <cell r="O62">
            <v>2110.85</v>
          </cell>
          <cell r="P62">
            <v>2110.85</v>
          </cell>
        </row>
        <row r="63">
          <cell r="F63">
            <v>1.25</v>
          </cell>
          <cell r="M63"/>
          <cell r="N63">
            <v>2102.7800000000002</v>
          </cell>
          <cell r="O63">
            <v>2140.75</v>
          </cell>
          <cell r="P63">
            <v>2140.75</v>
          </cell>
        </row>
        <row r="64">
          <cell r="F64">
            <v>1.36</v>
          </cell>
          <cell r="M64"/>
          <cell r="N64">
            <v>2128.08</v>
          </cell>
          <cell r="O64">
            <v>2166.0500000000002</v>
          </cell>
          <cell r="P64">
            <v>2166.0500000000002</v>
          </cell>
        </row>
        <row r="65">
          <cell r="F65">
            <v>1.56</v>
          </cell>
          <cell r="M65"/>
          <cell r="N65">
            <v>2174.08</v>
          </cell>
          <cell r="O65">
            <v>2212.0500000000002</v>
          </cell>
          <cell r="P65">
            <v>2212.0500000000002</v>
          </cell>
        </row>
        <row r="66">
          <cell r="F66">
            <v>1.38</v>
          </cell>
          <cell r="M66"/>
          <cell r="N66">
            <v>2132.6799999999998</v>
          </cell>
          <cell r="O66">
            <v>2170.6499999999996</v>
          </cell>
          <cell r="P66">
            <v>2170.6499999999996</v>
          </cell>
        </row>
        <row r="67">
          <cell r="F67">
            <v>1.49</v>
          </cell>
          <cell r="M67"/>
          <cell r="N67">
            <v>2157.98</v>
          </cell>
          <cell r="O67">
            <v>2195.9499999999998</v>
          </cell>
          <cell r="P67">
            <v>2195.9499999999998</v>
          </cell>
        </row>
        <row r="68">
          <cell r="F68">
            <v>1.69</v>
          </cell>
          <cell r="M68"/>
          <cell r="N68"/>
          <cell r="O68">
            <v>2241.9499999999998</v>
          </cell>
          <cell r="P68">
            <v>2241.9499999999998</v>
          </cell>
        </row>
        <row r="69">
          <cell r="F69">
            <v>1.6</v>
          </cell>
          <cell r="M69"/>
          <cell r="N69">
            <v>2183.2800000000002</v>
          </cell>
          <cell r="O69">
            <v>2221.25</v>
          </cell>
          <cell r="P69">
            <v>2221.25</v>
          </cell>
        </row>
        <row r="70">
          <cell r="F70">
            <v>1.8</v>
          </cell>
          <cell r="M70"/>
          <cell r="N70"/>
          <cell r="O70">
            <v>2267.25</v>
          </cell>
          <cell r="P70">
            <v>2267.25</v>
          </cell>
        </row>
        <row r="71">
          <cell r="F71">
            <v>2</v>
          </cell>
          <cell r="M71"/>
          <cell r="N71"/>
          <cell r="O71">
            <v>2313.25</v>
          </cell>
          <cell r="P71">
            <v>2313.25</v>
          </cell>
        </row>
        <row r="72">
          <cell r="F72">
            <v>1.44</v>
          </cell>
          <cell r="M72"/>
          <cell r="N72">
            <v>2146.48</v>
          </cell>
          <cell r="O72">
            <v>2184.4499999999998</v>
          </cell>
          <cell r="P72">
            <v>2184.4499999999998</v>
          </cell>
        </row>
        <row r="73">
          <cell r="F73">
            <v>1.76</v>
          </cell>
          <cell r="M73"/>
          <cell r="N73"/>
          <cell r="O73">
            <v>2258.0500000000002</v>
          </cell>
          <cell r="P73">
            <v>2258.0500000000002</v>
          </cell>
        </row>
        <row r="74">
          <cell r="F74">
            <v>2.0099999999999998</v>
          </cell>
          <cell r="M74"/>
          <cell r="N74"/>
          <cell r="O74">
            <v>2315.5500000000002</v>
          </cell>
          <cell r="P74">
            <v>2315.5500000000002</v>
          </cell>
        </row>
        <row r="75">
          <cell r="F75">
            <v>2.08</v>
          </cell>
          <cell r="M75"/>
          <cell r="N75"/>
          <cell r="O75"/>
          <cell r="P75">
            <v>2331.65</v>
          </cell>
        </row>
        <row r="76">
          <cell r="F76">
            <v>2.33</v>
          </cell>
          <cell r="M76"/>
          <cell r="N76"/>
          <cell r="O76"/>
          <cell r="P76">
            <v>2389.15</v>
          </cell>
        </row>
        <row r="77">
          <cell r="F77">
            <v>2.58</v>
          </cell>
          <cell r="M77"/>
          <cell r="N77"/>
          <cell r="O77"/>
          <cell r="P77">
            <v>2446.65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14ZC1"/>
      <sheetName val="見積り報告"/>
      <sheetName val="日程"/>
      <sheetName val="機種体系"/>
      <sheetName val="車両アサンプション"/>
      <sheetName val="PTアサンプション"/>
      <sheetName val="研工事"/>
      <sheetName val="試作車台数"/>
      <sheetName val="工数まとめ"/>
      <sheetName val="ｹｰｽｽﾀﾃﾞｨｱｻﾝﾌﾟｼｮﾝ"/>
      <sheetName val="内訳報告"/>
      <sheetName val="内訳分析"/>
      <sheetName val="Ford Joint Drive"/>
      <sheetName val="Sheet1"/>
      <sheetName val="Sheet2"/>
      <sheetName val="Sheet3"/>
      <sheetName val="B-SDN"/>
      <sheetName val="B-SPW"/>
      <sheetName val="C-SDN"/>
      <sheetName val="C-SPW"/>
      <sheetName val="CD-SDN"/>
      <sheetName val="CD-WGN"/>
      <sheetName val="CD-SPW"/>
      <sheetName val="CD-SUV"/>
      <sheetName val="D-SUV"/>
      <sheetName val="SP1"/>
      <sheetName val="SP2"/>
      <sheetName val="集計用"/>
      <sheetName val="5326X"/>
      <sheetName val="5322X"/>
      <sheetName val="53220"/>
      <sheetName val="5323X"/>
      <sheetName val="③Caseﾃｰﾌﾞﾙ"/>
      <sheetName val="②担体・加工ﾃｰﾌﾞﾙ"/>
      <sheetName val="①PMﾃｰﾌﾞﾙ"/>
      <sheetName val="IOCI_強制駆動"/>
      <sheetName val="ｾﾝﾀ別工数集計結果"/>
      <sheetName val="ﾌｨﾛｿﾌｨ領域別工数集計結果"/>
      <sheetName val="部_Gr別工数実績集計結果"/>
      <sheetName val="部別工数集計結果"/>
      <sheetName val="チーム案2英語"/>
      <sheetName val="ﾗﾍﾞﾙ"/>
      <sheetName val="検索条件メイク"/>
      <sheetName val="実績CDF分析(0)"/>
      <sheetName val="部品入れ替え"/>
      <sheetName val="実績ﾘｽﾄにCDF"/>
      <sheetName val="目次"/>
      <sheetName val="PT by Chunk"/>
      <sheetName val="USD"/>
      <sheetName val="Cal"/>
      <sheetName val="Allocation"/>
      <sheetName val="#REF"/>
      <sheetName val="Map"/>
      <sheetName val="VL PBT"/>
      <sheetName val="Rev"/>
      <sheetName val="Volumes"/>
      <sheetName val="添付１"/>
      <sheetName val="開発費まとめ"/>
      <sheetName val="1-2速"/>
      <sheetName val="SVC2"/>
      <sheetName val="data1"/>
      <sheetName val="data2"/>
      <sheetName val="data3"/>
      <sheetName val="Prm"/>
      <sheetName val="CH1"/>
      <sheetName val="CH2"/>
      <sheetName val="EX1"/>
      <sheetName val="TE1-2"/>
      <sheetName val="TE3"/>
      <sheetName val="TE4-5"/>
      <sheetName val="F_補助部門費①"/>
      <sheetName val="AVRV_MSSM"/>
      <sheetName val="Rules"/>
      <sheetName val="SP"/>
      <sheetName val="C,CD1"/>
      <sheetName val="C,CD2"/>
      <sheetName val="B"/>
      <sheetName val="ﾘｯﾄﾞ1"/>
      <sheetName val="ﾘｯﾄﾞ2"/>
      <sheetName val="ﾎﾞﾝﾈｯﾄ"/>
      <sheetName val="graphic_phase"/>
      <sheetName val="Cost_Assumptions"/>
      <sheetName val="J21KPL"/>
      <sheetName val="まとめ"/>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14ZC1"/>
      <sheetName val="見積り報告"/>
      <sheetName val="日程"/>
      <sheetName val="機種体系"/>
      <sheetName val="車両アサンプション"/>
      <sheetName val="PTアサンプション"/>
      <sheetName val="研工事"/>
      <sheetName val="試作車台数"/>
      <sheetName val="工数まとめ"/>
      <sheetName val="ｹｰｽｽﾀﾃﾞｨｱｻﾝﾌﾟｼｮﾝ"/>
      <sheetName val="内訳報告"/>
      <sheetName val="内訳分析"/>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el 1"/>
      <sheetName val="Int &amp; LT Summary"/>
      <sheetName val="Routine(GER)"/>
      <sheetName val="Routine($)"/>
      <sheetName val="Top22(GER)"/>
      <sheetName val="Top22($)"/>
      <sheetName val="change intervals"/>
      <sheetName val="Top22_GER_"/>
      <sheetName val="NA 650a"/>
      <sheetName val="NA Ford Mgmt Sum"/>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Ａ"/>
      <sheetName val="入力-Ｂ"/>
      <sheetName val="入力-Ｃ"/>
      <sheetName val="全体"/>
      <sheetName val="結果1"/>
      <sheetName val="結果2"/>
      <sheetName val="結果3"/>
      <sheetName val="結果4"/>
      <sheetName val="結果5"/>
      <sheetName val="結果6"/>
      <sheetName val="結果7"/>
      <sheetName val="結果8"/>
      <sheetName val="入力_Ａ"/>
      <sheetName val="入力_Ｂ"/>
      <sheetName val="Top22(GER)"/>
    </sheetNames>
    <sheetDataSet>
      <sheetData sheetId="0" refreshError="1">
        <row r="1">
          <cell r="D1" t="str">
            <v>AM50</v>
          </cell>
        </row>
      </sheetData>
      <sheetData sheetId="1" refreshError="1">
        <row r="1">
          <cell r="D1" t="str">
            <v>AM50</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eneral"/>
      <sheetName val="Service"/>
      <sheetName val="Session"/>
      <sheetName val="Reset"/>
      <sheetName val="DTCs"/>
      <sheetName val="Snapshot"/>
      <sheetName val="DIDs"/>
      <sheetName val="Security"/>
      <sheetName val="CentralCFG"/>
      <sheetName val="SelfTest"/>
      <sheetName val="RIDs"/>
      <sheetName val="DMRs"/>
      <sheetName val="Reflash"/>
      <sheetName val="Deviation"/>
      <sheetName val="Notes"/>
      <sheetName val="Revision"/>
      <sheetName val="Appendix.記載例"/>
      <sheetName val="Appendix_IO_Control example"/>
      <sheetName val="Master"/>
      <sheetName val="DT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
          <cell r="B4" t="str">
            <v>ABS</v>
          </cell>
        </row>
        <row r="5">
          <cell r="B5" t="str">
            <v>ABS/DSC</v>
          </cell>
        </row>
        <row r="6">
          <cell r="B6" t="str">
            <v>ACU</v>
          </cell>
        </row>
        <row r="7">
          <cell r="B7" t="str">
            <v>AFS</v>
          </cell>
        </row>
        <row r="8">
          <cell r="B8" t="str">
            <v>AM</v>
          </cell>
        </row>
        <row r="9">
          <cell r="B9" t="str">
            <v>AWD</v>
          </cell>
        </row>
        <row r="10">
          <cell r="B10" t="str">
            <v>BCM</v>
          </cell>
        </row>
        <row r="11">
          <cell r="B11" t="str">
            <v>BSML</v>
          </cell>
        </row>
        <row r="12">
          <cell r="B12" t="str">
            <v>BSMR</v>
          </cell>
        </row>
        <row r="13">
          <cell r="B13" t="str">
            <v>CMU</v>
          </cell>
        </row>
        <row r="14">
          <cell r="B14" t="str">
            <v>DCDC</v>
          </cell>
        </row>
        <row r="15">
          <cell r="B15" t="str">
            <v>DSC</v>
          </cell>
        </row>
        <row r="16">
          <cell r="B16" t="str">
            <v>EATC</v>
          </cell>
        </row>
        <row r="17">
          <cell r="B17" t="str">
            <v>EHPAS</v>
          </cell>
        </row>
        <row r="18">
          <cell r="B18" t="str">
            <v>EPAS</v>
          </cell>
        </row>
        <row r="19">
          <cell r="B19" t="str">
            <v>EPB</v>
          </cell>
        </row>
        <row r="20">
          <cell r="B20" t="str">
            <v>FBCM</v>
          </cell>
        </row>
        <row r="21">
          <cell r="B21" t="str">
            <v>FOH</v>
          </cell>
        </row>
        <row r="22">
          <cell r="B22" t="str">
            <v>FSC</v>
          </cell>
        </row>
        <row r="23">
          <cell r="B23" t="str">
            <v>IC</v>
          </cell>
        </row>
        <row r="24">
          <cell r="B24" t="str">
            <v>ICA</v>
          </cell>
        </row>
        <row r="25">
          <cell r="B25" t="str">
            <v>IC/TPMS</v>
          </cell>
        </row>
        <row r="26">
          <cell r="B26" t="str">
            <v>LPSD</v>
          </cell>
        </row>
        <row r="27">
          <cell r="B27" t="str">
            <v>MID</v>
          </cell>
        </row>
        <row r="28">
          <cell r="B28" t="str">
            <v>MPM</v>
          </cell>
        </row>
        <row r="29">
          <cell r="B29" t="str">
            <v>PCS/ACC</v>
          </cell>
        </row>
        <row r="30">
          <cell r="B30" t="str">
            <v>PLG</v>
          </cell>
        </row>
        <row r="31">
          <cell r="B31" t="str">
            <v>PSM</v>
          </cell>
        </row>
        <row r="32">
          <cell r="B32" t="str">
            <v>RBCM</v>
          </cell>
        </row>
        <row r="33">
          <cell r="B33" t="str">
            <v>RCM</v>
          </cell>
        </row>
        <row r="34">
          <cell r="B34" t="str">
            <v>RPSD</v>
          </cell>
        </row>
        <row r="35">
          <cell r="B35" t="str">
            <v>RVM</v>
          </cell>
        </row>
        <row r="36">
          <cell r="B36" t="str">
            <v>SARM</v>
          </cell>
        </row>
        <row r="37">
          <cell r="B37" t="str">
            <v>SKE</v>
          </cell>
        </row>
        <row r="38">
          <cell r="B38" t="str">
            <v>SSU</v>
          </cell>
        </row>
        <row r="39">
          <cell r="B39" t="str">
            <v>TPMS</v>
          </cell>
        </row>
        <row r="40">
          <cell r="B40" t="str">
            <v>VSM</v>
          </cell>
        </row>
        <row r="46">
          <cell r="B46" t="str">
            <v>00</v>
          </cell>
        </row>
        <row r="47">
          <cell r="B47" t="str">
            <v>01</v>
          </cell>
        </row>
        <row r="48">
          <cell r="B48" t="str">
            <v>02</v>
          </cell>
        </row>
        <row r="49">
          <cell r="B49" t="str">
            <v>03</v>
          </cell>
        </row>
        <row r="50">
          <cell r="B50" t="str">
            <v>04</v>
          </cell>
        </row>
        <row r="51">
          <cell r="B51" t="str">
            <v>05</v>
          </cell>
        </row>
        <row r="52">
          <cell r="B52" t="str">
            <v>06</v>
          </cell>
        </row>
        <row r="53">
          <cell r="B53" t="str">
            <v>07</v>
          </cell>
        </row>
        <row r="54">
          <cell r="B54" t="str">
            <v>08</v>
          </cell>
        </row>
        <row r="55">
          <cell r="B55" t="str">
            <v>09</v>
          </cell>
        </row>
        <row r="56">
          <cell r="B56">
            <v>11</v>
          </cell>
        </row>
        <row r="57">
          <cell r="B57">
            <v>12</v>
          </cell>
        </row>
        <row r="58">
          <cell r="B58">
            <v>13</v>
          </cell>
        </row>
        <row r="59">
          <cell r="B59">
            <v>14</v>
          </cell>
        </row>
        <row r="60">
          <cell r="B60">
            <v>15</v>
          </cell>
        </row>
        <row r="61">
          <cell r="B61">
            <v>16</v>
          </cell>
        </row>
        <row r="62">
          <cell r="B62">
            <v>17</v>
          </cell>
        </row>
        <row r="63">
          <cell r="B63">
            <v>18</v>
          </cell>
        </row>
        <row r="64">
          <cell r="B64">
            <v>19</v>
          </cell>
        </row>
        <row r="65">
          <cell r="B65" t="str">
            <v>1A</v>
          </cell>
        </row>
        <row r="66">
          <cell r="B66" t="str">
            <v>1B</v>
          </cell>
        </row>
        <row r="67">
          <cell r="B67" t="str">
            <v>1C</v>
          </cell>
        </row>
        <row r="68">
          <cell r="B68" t="str">
            <v>1D</v>
          </cell>
        </row>
        <row r="69">
          <cell r="B69" t="str">
            <v>1E</v>
          </cell>
        </row>
        <row r="70">
          <cell r="B70" t="str">
            <v>1F</v>
          </cell>
        </row>
        <row r="71">
          <cell r="B71">
            <v>21</v>
          </cell>
        </row>
        <row r="72">
          <cell r="B72">
            <v>22</v>
          </cell>
        </row>
        <row r="73">
          <cell r="B73">
            <v>23</v>
          </cell>
        </row>
        <row r="74">
          <cell r="B74">
            <v>24</v>
          </cell>
        </row>
        <row r="75">
          <cell r="B75">
            <v>25</v>
          </cell>
        </row>
        <row r="76">
          <cell r="B76">
            <v>26</v>
          </cell>
        </row>
        <row r="77">
          <cell r="B77">
            <v>27</v>
          </cell>
        </row>
        <row r="78">
          <cell r="B78">
            <v>28</v>
          </cell>
        </row>
        <row r="79">
          <cell r="B79">
            <v>29</v>
          </cell>
        </row>
        <row r="80">
          <cell r="B80" t="str">
            <v>2A</v>
          </cell>
        </row>
        <row r="81">
          <cell r="B81" t="str">
            <v>2B</v>
          </cell>
        </row>
        <row r="82">
          <cell r="B82" t="str">
            <v>2F</v>
          </cell>
        </row>
        <row r="83">
          <cell r="B83">
            <v>31</v>
          </cell>
        </row>
        <row r="84">
          <cell r="B84">
            <v>32</v>
          </cell>
        </row>
        <row r="85">
          <cell r="B85">
            <v>33</v>
          </cell>
        </row>
        <row r="86">
          <cell r="B86">
            <v>34</v>
          </cell>
        </row>
        <row r="87">
          <cell r="B87">
            <v>35</v>
          </cell>
        </row>
        <row r="88">
          <cell r="B88">
            <v>36</v>
          </cell>
        </row>
        <row r="89">
          <cell r="B89">
            <v>37</v>
          </cell>
        </row>
        <row r="90">
          <cell r="B90">
            <v>38</v>
          </cell>
        </row>
        <row r="91">
          <cell r="B91">
            <v>39</v>
          </cell>
        </row>
        <row r="92">
          <cell r="B92" t="str">
            <v>3A</v>
          </cell>
        </row>
        <row r="93">
          <cell r="B93">
            <v>41</v>
          </cell>
        </row>
        <row r="94">
          <cell r="B94">
            <v>42</v>
          </cell>
        </row>
        <row r="95">
          <cell r="B95">
            <v>43</v>
          </cell>
        </row>
        <row r="96">
          <cell r="B96">
            <v>44</v>
          </cell>
        </row>
        <row r="97">
          <cell r="B97">
            <v>45</v>
          </cell>
        </row>
        <row r="98">
          <cell r="B98">
            <v>46</v>
          </cell>
        </row>
        <row r="99">
          <cell r="B99">
            <v>47</v>
          </cell>
        </row>
        <row r="100">
          <cell r="B100">
            <v>48</v>
          </cell>
        </row>
        <row r="101">
          <cell r="B101">
            <v>49</v>
          </cell>
        </row>
        <row r="102">
          <cell r="B102" t="str">
            <v>4A</v>
          </cell>
        </row>
        <row r="103">
          <cell r="B103" t="str">
            <v>4B</v>
          </cell>
        </row>
        <row r="104">
          <cell r="B104">
            <v>51</v>
          </cell>
        </row>
        <row r="105">
          <cell r="B105">
            <v>52</v>
          </cell>
        </row>
        <row r="106">
          <cell r="B106">
            <v>53</v>
          </cell>
        </row>
        <row r="107">
          <cell r="B107">
            <v>54</v>
          </cell>
        </row>
        <row r="108">
          <cell r="B108">
            <v>55</v>
          </cell>
        </row>
        <row r="109">
          <cell r="B109">
            <v>56</v>
          </cell>
        </row>
        <row r="110">
          <cell r="B110">
            <v>57</v>
          </cell>
        </row>
        <row r="111">
          <cell r="B111">
            <v>61</v>
          </cell>
        </row>
        <row r="112">
          <cell r="B112">
            <v>62</v>
          </cell>
        </row>
        <row r="113">
          <cell r="B113">
            <v>63</v>
          </cell>
        </row>
        <row r="114">
          <cell r="B114">
            <v>64</v>
          </cell>
        </row>
        <row r="115">
          <cell r="B115">
            <v>65</v>
          </cell>
        </row>
        <row r="116">
          <cell r="B116">
            <v>66</v>
          </cell>
        </row>
        <row r="117">
          <cell r="B117">
            <v>67</v>
          </cell>
        </row>
        <row r="118">
          <cell r="B118">
            <v>68</v>
          </cell>
        </row>
        <row r="119">
          <cell r="B119">
            <v>71</v>
          </cell>
        </row>
        <row r="120">
          <cell r="B120">
            <v>72</v>
          </cell>
        </row>
        <row r="121">
          <cell r="B121">
            <v>73</v>
          </cell>
        </row>
        <row r="122">
          <cell r="B122">
            <v>74</v>
          </cell>
        </row>
        <row r="123">
          <cell r="B123">
            <v>75</v>
          </cell>
        </row>
        <row r="124">
          <cell r="B124">
            <v>76</v>
          </cell>
        </row>
        <row r="125">
          <cell r="B125">
            <v>77</v>
          </cell>
        </row>
        <row r="126">
          <cell r="B126">
            <v>78</v>
          </cell>
        </row>
        <row r="127">
          <cell r="B127">
            <v>79</v>
          </cell>
        </row>
        <row r="128">
          <cell r="B128" t="str">
            <v>7A</v>
          </cell>
        </row>
        <row r="129">
          <cell r="B129" t="str">
            <v>7B</v>
          </cell>
        </row>
        <row r="130">
          <cell r="B130">
            <v>81</v>
          </cell>
        </row>
        <row r="131">
          <cell r="B131">
            <v>82</v>
          </cell>
        </row>
        <row r="132">
          <cell r="B132">
            <v>83</v>
          </cell>
        </row>
        <row r="133">
          <cell r="B133">
            <v>84</v>
          </cell>
        </row>
        <row r="134">
          <cell r="B134">
            <v>85</v>
          </cell>
        </row>
        <row r="135">
          <cell r="B135">
            <v>86</v>
          </cell>
        </row>
        <row r="136">
          <cell r="B136">
            <v>87</v>
          </cell>
        </row>
        <row r="137">
          <cell r="B137">
            <v>88</v>
          </cell>
        </row>
        <row r="138">
          <cell r="B138" t="str">
            <v>8F</v>
          </cell>
        </row>
        <row r="139">
          <cell r="B139">
            <v>91</v>
          </cell>
        </row>
        <row r="140">
          <cell r="B140">
            <v>92</v>
          </cell>
        </row>
        <row r="141">
          <cell r="B141">
            <v>93</v>
          </cell>
        </row>
        <row r="142">
          <cell r="B142">
            <v>94</v>
          </cell>
        </row>
        <row r="143">
          <cell r="B143">
            <v>95</v>
          </cell>
        </row>
        <row r="144">
          <cell r="B144">
            <v>96</v>
          </cell>
        </row>
        <row r="145">
          <cell r="B145">
            <v>97</v>
          </cell>
        </row>
        <row r="146">
          <cell r="B146">
            <v>98</v>
          </cell>
        </row>
        <row r="147">
          <cell r="B147" t="str">
            <v>9A</v>
          </cell>
        </row>
      </sheetData>
      <sheetData sheetId="20">
        <row r="2">
          <cell r="A2" t="str">
            <v>0000</v>
          </cell>
        </row>
        <row r="3">
          <cell r="A3" t="str">
            <v>0001</v>
          </cell>
        </row>
        <row r="4">
          <cell r="A4" t="str">
            <v>0002</v>
          </cell>
        </row>
        <row r="5">
          <cell r="A5" t="str">
            <v>0003</v>
          </cell>
        </row>
        <row r="6">
          <cell r="A6" t="str">
            <v>0004</v>
          </cell>
        </row>
        <row r="7">
          <cell r="A7" t="str">
            <v>0005</v>
          </cell>
        </row>
        <row r="8">
          <cell r="A8" t="str">
            <v>0006</v>
          </cell>
        </row>
        <row r="9">
          <cell r="A9" t="str">
            <v>0007</v>
          </cell>
        </row>
        <row r="10">
          <cell r="A10" t="str">
            <v>0008</v>
          </cell>
        </row>
        <row r="11">
          <cell r="A11" t="str">
            <v>0009</v>
          </cell>
        </row>
        <row r="12">
          <cell r="A12" t="str">
            <v>000A</v>
          </cell>
        </row>
        <row r="13">
          <cell r="A13" t="str">
            <v>000B</v>
          </cell>
        </row>
        <row r="14">
          <cell r="A14" t="str">
            <v>000C</v>
          </cell>
        </row>
        <row r="15">
          <cell r="A15" t="str">
            <v>000D</v>
          </cell>
        </row>
        <row r="16">
          <cell r="A16" t="str">
            <v>000E</v>
          </cell>
        </row>
        <row r="17">
          <cell r="A17" t="str">
            <v>000F</v>
          </cell>
        </row>
        <row r="18">
          <cell r="A18" t="str">
            <v>0010</v>
          </cell>
        </row>
        <row r="19">
          <cell r="A19" t="str">
            <v>0011</v>
          </cell>
        </row>
        <row r="20">
          <cell r="A20" t="str">
            <v>0012</v>
          </cell>
        </row>
        <row r="21">
          <cell r="A21" t="str">
            <v>0013</v>
          </cell>
        </row>
        <row r="22">
          <cell r="A22" t="str">
            <v>0014</v>
          </cell>
        </row>
        <row r="23">
          <cell r="A23" t="str">
            <v>0015</v>
          </cell>
        </row>
        <row r="24">
          <cell r="A24" t="str">
            <v>0016</v>
          </cell>
        </row>
        <row r="25">
          <cell r="A25" t="str">
            <v>0017</v>
          </cell>
        </row>
        <row r="26">
          <cell r="A26" t="str">
            <v>0018</v>
          </cell>
        </row>
        <row r="27">
          <cell r="A27" t="str">
            <v>0019</v>
          </cell>
        </row>
        <row r="28">
          <cell r="A28" t="str">
            <v>001A</v>
          </cell>
        </row>
        <row r="29">
          <cell r="A29" t="str">
            <v>001B</v>
          </cell>
        </row>
        <row r="30">
          <cell r="A30" t="str">
            <v>001C</v>
          </cell>
        </row>
        <row r="31">
          <cell r="A31" t="str">
            <v>001D</v>
          </cell>
        </row>
        <row r="32">
          <cell r="A32" t="str">
            <v>001E</v>
          </cell>
        </row>
        <row r="33">
          <cell r="A33" t="str">
            <v>001F</v>
          </cell>
        </row>
        <row r="34">
          <cell r="A34" t="str">
            <v>0020</v>
          </cell>
        </row>
        <row r="35">
          <cell r="A35" t="str">
            <v>0021</v>
          </cell>
        </row>
        <row r="36">
          <cell r="A36" t="str">
            <v>0022</v>
          </cell>
        </row>
        <row r="37">
          <cell r="A37" t="str">
            <v>0023</v>
          </cell>
        </row>
        <row r="38">
          <cell r="A38" t="str">
            <v>0024</v>
          </cell>
        </row>
        <row r="39">
          <cell r="A39" t="str">
            <v>0025</v>
          </cell>
        </row>
        <row r="40">
          <cell r="A40" t="str">
            <v>0026</v>
          </cell>
        </row>
        <row r="41">
          <cell r="A41" t="str">
            <v>0027</v>
          </cell>
        </row>
        <row r="42">
          <cell r="A42" t="str">
            <v>0028</v>
          </cell>
        </row>
        <row r="43">
          <cell r="A43" t="str">
            <v>0029</v>
          </cell>
        </row>
        <row r="44">
          <cell r="A44" t="str">
            <v>002A</v>
          </cell>
        </row>
        <row r="45">
          <cell r="A45" t="str">
            <v>002B</v>
          </cell>
        </row>
        <row r="46">
          <cell r="A46" t="str">
            <v>002C</v>
          </cell>
        </row>
        <row r="47">
          <cell r="A47" t="str">
            <v>002D</v>
          </cell>
        </row>
        <row r="48">
          <cell r="A48" t="str">
            <v>002E</v>
          </cell>
        </row>
        <row r="49">
          <cell r="A49" t="str">
            <v>002F</v>
          </cell>
        </row>
        <row r="50">
          <cell r="A50" t="str">
            <v>0030</v>
          </cell>
        </row>
        <row r="51">
          <cell r="A51" t="str">
            <v>0031</v>
          </cell>
        </row>
        <row r="52">
          <cell r="A52" t="str">
            <v>0032</v>
          </cell>
        </row>
        <row r="53">
          <cell r="A53" t="str">
            <v>0033</v>
          </cell>
        </row>
        <row r="54">
          <cell r="A54" t="str">
            <v>0034</v>
          </cell>
        </row>
        <row r="55">
          <cell r="A55" t="str">
            <v>0035</v>
          </cell>
        </row>
        <row r="56">
          <cell r="A56" t="str">
            <v>0036</v>
          </cell>
        </row>
        <row r="57">
          <cell r="A57" t="str">
            <v>0037</v>
          </cell>
        </row>
        <row r="58">
          <cell r="A58" t="str">
            <v>0038</v>
          </cell>
        </row>
        <row r="59">
          <cell r="A59" t="str">
            <v>0039</v>
          </cell>
        </row>
        <row r="60">
          <cell r="A60" t="str">
            <v>003A</v>
          </cell>
        </row>
        <row r="61">
          <cell r="A61" t="str">
            <v>003B</v>
          </cell>
        </row>
        <row r="62">
          <cell r="A62" t="str">
            <v>003C</v>
          </cell>
        </row>
        <row r="63">
          <cell r="A63" t="str">
            <v>003D</v>
          </cell>
        </row>
        <row r="64">
          <cell r="A64" t="str">
            <v>003E</v>
          </cell>
        </row>
        <row r="65">
          <cell r="A65" t="str">
            <v>003F</v>
          </cell>
        </row>
        <row r="66">
          <cell r="A66" t="str">
            <v>0040</v>
          </cell>
        </row>
        <row r="67">
          <cell r="A67" t="str">
            <v>0041</v>
          </cell>
        </row>
        <row r="68">
          <cell r="A68" t="str">
            <v>0042</v>
          </cell>
        </row>
        <row r="69">
          <cell r="A69" t="str">
            <v>0043</v>
          </cell>
        </row>
        <row r="70">
          <cell r="A70" t="str">
            <v>0044</v>
          </cell>
        </row>
        <row r="71">
          <cell r="A71" t="str">
            <v>0045</v>
          </cell>
        </row>
        <row r="72">
          <cell r="A72" t="str">
            <v>0046</v>
          </cell>
        </row>
        <row r="73">
          <cell r="A73" t="str">
            <v>0047</v>
          </cell>
        </row>
        <row r="74">
          <cell r="A74" t="str">
            <v>0048</v>
          </cell>
        </row>
        <row r="75">
          <cell r="A75" t="str">
            <v>0049</v>
          </cell>
        </row>
        <row r="76">
          <cell r="A76" t="str">
            <v>004A</v>
          </cell>
        </row>
        <row r="77">
          <cell r="A77" t="str">
            <v>004B</v>
          </cell>
        </row>
        <row r="78">
          <cell r="A78" t="str">
            <v>004C</v>
          </cell>
        </row>
        <row r="79">
          <cell r="A79" t="str">
            <v>004D</v>
          </cell>
        </row>
        <row r="80">
          <cell r="A80" t="str">
            <v>004E</v>
          </cell>
        </row>
        <row r="81">
          <cell r="A81" t="str">
            <v>004F</v>
          </cell>
        </row>
        <row r="82">
          <cell r="A82" t="str">
            <v>0050</v>
          </cell>
        </row>
        <row r="83">
          <cell r="A83" t="str">
            <v>0051</v>
          </cell>
        </row>
        <row r="84">
          <cell r="A84" t="str">
            <v>0052</v>
          </cell>
        </row>
        <row r="85">
          <cell r="A85" t="str">
            <v>0053</v>
          </cell>
        </row>
        <row r="86">
          <cell r="A86" t="str">
            <v>0054</v>
          </cell>
        </row>
        <row r="87">
          <cell r="A87" t="str">
            <v>0055</v>
          </cell>
        </row>
        <row r="88">
          <cell r="A88" t="str">
            <v>0056</v>
          </cell>
        </row>
        <row r="89">
          <cell r="A89" t="str">
            <v>0057</v>
          </cell>
        </row>
        <row r="90">
          <cell r="A90" t="str">
            <v>0058</v>
          </cell>
        </row>
        <row r="91">
          <cell r="A91" t="str">
            <v>0059</v>
          </cell>
        </row>
        <row r="92">
          <cell r="A92" t="str">
            <v>005A</v>
          </cell>
        </row>
        <row r="93">
          <cell r="A93" t="str">
            <v>005B</v>
          </cell>
        </row>
        <row r="94">
          <cell r="A94" t="str">
            <v>005C</v>
          </cell>
        </row>
        <row r="95">
          <cell r="A95" t="str">
            <v>005D</v>
          </cell>
        </row>
        <row r="96">
          <cell r="A96" t="str">
            <v>005E</v>
          </cell>
        </row>
        <row r="97">
          <cell r="A97" t="str">
            <v>005F</v>
          </cell>
        </row>
        <row r="98">
          <cell r="A98" t="str">
            <v>0060</v>
          </cell>
        </row>
        <row r="99">
          <cell r="A99" t="str">
            <v>0061</v>
          </cell>
        </row>
        <row r="100">
          <cell r="A100" t="str">
            <v>0062</v>
          </cell>
        </row>
        <row r="101">
          <cell r="A101" t="str">
            <v>0063</v>
          </cell>
        </row>
        <row r="102">
          <cell r="A102" t="str">
            <v>0064</v>
          </cell>
        </row>
        <row r="103">
          <cell r="A103" t="str">
            <v>0065</v>
          </cell>
        </row>
        <row r="104">
          <cell r="A104" t="str">
            <v>0066</v>
          </cell>
        </row>
        <row r="105">
          <cell r="A105" t="str">
            <v>0067</v>
          </cell>
        </row>
        <row r="106">
          <cell r="A106" t="str">
            <v>0068</v>
          </cell>
        </row>
        <row r="107">
          <cell r="A107" t="str">
            <v>0069</v>
          </cell>
        </row>
        <row r="108">
          <cell r="A108" t="str">
            <v>006A</v>
          </cell>
        </row>
        <row r="109">
          <cell r="A109" t="str">
            <v>006B</v>
          </cell>
        </row>
        <row r="110">
          <cell r="A110" t="str">
            <v>006C</v>
          </cell>
        </row>
        <row r="111">
          <cell r="A111" t="str">
            <v>006D</v>
          </cell>
        </row>
        <row r="112">
          <cell r="A112" t="str">
            <v>006E</v>
          </cell>
        </row>
        <row r="113">
          <cell r="A113" t="str">
            <v>006F</v>
          </cell>
        </row>
        <row r="114">
          <cell r="A114" t="str">
            <v>0070</v>
          </cell>
        </row>
        <row r="115">
          <cell r="A115" t="str">
            <v>0071</v>
          </cell>
        </row>
        <row r="116">
          <cell r="A116" t="str">
            <v>0072</v>
          </cell>
        </row>
        <row r="117">
          <cell r="A117" t="str">
            <v>0073</v>
          </cell>
        </row>
        <row r="118">
          <cell r="A118" t="str">
            <v>0074</v>
          </cell>
        </row>
        <row r="119">
          <cell r="A119" t="str">
            <v>0075</v>
          </cell>
        </row>
        <row r="120">
          <cell r="A120" t="str">
            <v>0076</v>
          </cell>
        </row>
        <row r="121">
          <cell r="A121" t="str">
            <v>0077</v>
          </cell>
        </row>
        <row r="122">
          <cell r="A122" t="str">
            <v>0078</v>
          </cell>
        </row>
        <row r="123">
          <cell r="A123" t="str">
            <v>0079</v>
          </cell>
        </row>
        <row r="124">
          <cell r="A124" t="str">
            <v>007A</v>
          </cell>
        </row>
        <row r="125">
          <cell r="A125" t="str">
            <v>007B</v>
          </cell>
        </row>
        <row r="126">
          <cell r="A126" t="str">
            <v>007C</v>
          </cell>
        </row>
        <row r="127">
          <cell r="A127" t="str">
            <v>007D</v>
          </cell>
        </row>
        <row r="128">
          <cell r="A128" t="str">
            <v>007E</v>
          </cell>
        </row>
        <row r="129">
          <cell r="A129" t="str">
            <v>007F</v>
          </cell>
        </row>
        <row r="130">
          <cell r="A130" t="str">
            <v>0080</v>
          </cell>
        </row>
        <row r="131">
          <cell r="A131" t="str">
            <v>0081</v>
          </cell>
        </row>
        <row r="132">
          <cell r="A132" t="str">
            <v>0082</v>
          </cell>
        </row>
        <row r="133">
          <cell r="A133" t="str">
            <v>0083</v>
          </cell>
        </row>
        <row r="134">
          <cell r="A134" t="str">
            <v>0084</v>
          </cell>
        </row>
        <row r="135">
          <cell r="A135" t="str">
            <v>0085</v>
          </cell>
        </row>
        <row r="136">
          <cell r="A136" t="str">
            <v>0086</v>
          </cell>
        </row>
        <row r="137">
          <cell r="A137" t="str">
            <v>0087</v>
          </cell>
        </row>
        <row r="138">
          <cell r="A138" t="str">
            <v>0088</v>
          </cell>
        </row>
        <row r="139">
          <cell r="A139" t="str">
            <v>0089</v>
          </cell>
        </row>
        <row r="140">
          <cell r="A140" t="str">
            <v>008A</v>
          </cell>
        </row>
        <row r="141">
          <cell r="A141" t="str">
            <v>008B</v>
          </cell>
        </row>
        <row r="142">
          <cell r="A142" t="str">
            <v>008C</v>
          </cell>
        </row>
        <row r="143">
          <cell r="A143" t="str">
            <v>008D</v>
          </cell>
        </row>
        <row r="144">
          <cell r="A144" t="str">
            <v>008E</v>
          </cell>
        </row>
        <row r="145">
          <cell r="A145" t="str">
            <v>008F</v>
          </cell>
        </row>
        <row r="146">
          <cell r="A146" t="str">
            <v>0090</v>
          </cell>
        </row>
        <row r="147">
          <cell r="A147" t="str">
            <v>0091</v>
          </cell>
        </row>
        <row r="148">
          <cell r="A148" t="str">
            <v>0092</v>
          </cell>
        </row>
        <row r="149">
          <cell r="A149" t="str">
            <v>0093</v>
          </cell>
        </row>
        <row r="150">
          <cell r="A150" t="str">
            <v>0094</v>
          </cell>
        </row>
        <row r="151">
          <cell r="A151" t="str">
            <v>0095</v>
          </cell>
        </row>
        <row r="152">
          <cell r="A152" t="str">
            <v>0096</v>
          </cell>
        </row>
        <row r="153">
          <cell r="A153" t="str">
            <v>0097</v>
          </cell>
        </row>
        <row r="154">
          <cell r="A154" t="str">
            <v>0098</v>
          </cell>
        </row>
        <row r="155">
          <cell r="A155" t="str">
            <v>0099</v>
          </cell>
        </row>
        <row r="156">
          <cell r="A156" t="str">
            <v>009A</v>
          </cell>
        </row>
        <row r="157">
          <cell r="A157" t="str">
            <v>009B</v>
          </cell>
        </row>
        <row r="158">
          <cell r="A158" t="str">
            <v>009C</v>
          </cell>
        </row>
        <row r="159">
          <cell r="A159" t="str">
            <v>009D</v>
          </cell>
        </row>
        <row r="160">
          <cell r="A160" t="str">
            <v>009E</v>
          </cell>
        </row>
        <row r="161">
          <cell r="A161" t="str">
            <v>009F</v>
          </cell>
        </row>
        <row r="162">
          <cell r="A162" t="str">
            <v>00A0</v>
          </cell>
        </row>
        <row r="163">
          <cell r="A163" t="str">
            <v>00A1</v>
          </cell>
        </row>
        <row r="164">
          <cell r="A164" t="str">
            <v>00A2</v>
          </cell>
        </row>
        <row r="165">
          <cell r="A165" t="str">
            <v>00A3</v>
          </cell>
        </row>
        <row r="166">
          <cell r="A166" t="str">
            <v>00A4</v>
          </cell>
        </row>
        <row r="167">
          <cell r="A167" t="str">
            <v>00A5</v>
          </cell>
        </row>
        <row r="168">
          <cell r="A168" t="str">
            <v>00A6</v>
          </cell>
        </row>
        <row r="169">
          <cell r="A169" t="str">
            <v>00A7</v>
          </cell>
        </row>
        <row r="170">
          <cell r="A170" t="str">
            <v>00A8</v>
          </cell>
        </row>
        <row r="171">
          <cell r="A171" t="str">
            <v>00A9</v>
          </cell>
        </row>
        <row r="172">
          <cell r="A172" t="str">
            <v>00AA</v>
          </cell>
        </row>
        <row r="173">
          <cell r="A173" t="str">
            <v>00AB</v>
          </cell>
        </row>
        <row r="174">
          <cell r="A174" t="str">
            <v>00AC</v>
          </cell>
        </row>
        <row r="175">
          <cell r="A175" t="str">
            <v>00AD</v>
          </cell>
        </row>
        <row r="176">
          <cell r="A176" t="str">
            <v>00AE</v>
          </cell>
        </row>
        <row r="177">
          <cell r="A177" t="str">
            <v>00AF</v>
          </cell>
        </row>
        <row r="178">
          <cell r="A178" t="str">
            <v>00B0</v>
          </cell>
        </row>
        <row r="179">
          <cell r="A179" t="str">
            <v>00B1</v>
          </cell>
        </row>
        <row r="180">
          <cell r="A180" t="str">
            <v>00B2</v>
          </cell>
        </row>
        <row r="181">
          <cell r="A181" t="str">
            <v>00B3</v>
          </cell>
        </row>
        <row r="182">
          <cell r="A182" t="str">
            <v>00B4</v>
          </cell>
        </row>
        <row r="183">
          <cell r="A183" t="str">
            <v>00B5</v>
          </cell>
        </row>
        <row r="184">
          <cell r="A184" t="str">
            <v>00B6</v>
          </cell>
        </row>
        <row r="185">
          <cell r="A185" t="str">
            <v>00B7</v>
          </cell>
        </row>
        <row r="186">
          <cell r="A186" t="str">
            <v>00B8</v>
          </cell>
        </row>
        <row r="187">
          <cell r="A187" t="str">
            <v>00B9</v>
          </cell>
        </row>
        <row r="188">
          <cell r="A188" t="str">
            <v>00BA</v>
          </cell>
        </row>
        <row r="189">
          <cell r="A189" t="str">
            <v>00BB</v>
          </cell>
        </row>
        <row r="190">
          <cell r="A190" t="str">
            <v>00BC</v>
          </cell>
        </row>
        <row r="191">
          <cell r="A191" t="str">
            <v>00BD</v>
          </cell>
        </row>
        <row r="192">
          <cell r="A192" t="str">
            <v>00BE</v>
          </cell>
        </row>
        <row r="193">
          <cell r="A193" t="str">
            <v>00BF</v>
          </cell>
        </row>
        <row r="194">
          <cell r="A194" t="str">
            <v>00C0</v>
          </cell>
        </row>
        <row r="195">
          <cell r="A195" t="str">
            <v>00C1</v>
          </cell>
        </row>
        <row r="196">
          <cell r="A196" t="str">
            <v>00C2</v>
          </cell>
        </row>
        <row r="197">
          <cell r="A197" t="str">
            <v>00C3</v>
          </cell>
        </row>
        <row r="198">
          <cell r="A198" t="str">
            <v>00C4</v>
          </cell>
        </row>
        <row r="199">
          <cell r="A199" t="str">
            <v>00C5</v>
          </cell>
        </row>
        <row r="200">
          <cell r="A200" t="str">
            <v>00C6</v>
          </cell>
        </row>
        <row r="201">
          <cell r="A201" t="str">
            <v>00C7</v>
          </cell>
        </row>
        <row r="202">
          <cell r="A202" t="str">
            <v>00C8</v>
          </cell>
        </row>
        <row r="203">
          <cell r="A203" t="str">
            <v>00C9</v>
          </cell>
        </row>
        <row r="204">
          <cell r="A204" t="str">
            <v>00CA</v>
          </cell>
        </row>
        <row r="205">
          <cell r="A205" t="str">
            <v>00CB</v>
          </cell>
        </row>
        <row r="206">
          <cell r="A206" t="str">
            <v>00CC</v>
          </cell>
        </row>
        <row r="207">
          <cell r="A207" t="str">
            <v>00CD</v>
          </cell>
        </row>
        <row r="208">
          <cell r="A208" t="str">
            <v>00CE</v>
          </cell>
        </row>
        <row r="209">
          <cell r="A209" t="str">
            <v>00CF</v>
          </cell>
        </row>
        <row r="210">
          <cell r="A210" t="str">
            <v>00D0</v>
          </cell>
        </row>
        <row r="211">
          <cell r="A211" t="str">
            <v>00D1</v>
          </cell>
        </row>
        <row r="212">
          <cell r="A212" t="str">
            <v>00D2</v>
          </cell>
        </row>
        <row r="213">
          <cell r="A213" t="str">
            <v>00D3</v>
          </cell>
        </row>
        <row r="214">
          <cell r="A214" t="str">
            <v>00D4</v>
          </cell>
        </row>
        <row r="215">
          <cell r="A215" t="str">
            <v>00D5</v>
          </cell>
        </row>
        <row r="216">
          <cell r="A216" t="str">
            <v>00D6</v>
          </cell>
        </row>
        <row r="217">
          <cell r="A217" t="str">
            <v>00D7</v>
          </cell>
        </row>
        <row r="218">
          <cell r="A218" t="str">
            <v>00D8</v>
          </cell>
        </row>
        <row r="219">
          <cell r="A219" t="str">
            <v>00D9</v>
          </cell>
        </row>
        <row r="220">
          <cell r="A220" t="str">
            <v>00DA</v>
          </cell>
        </row>
        <row r="221">
          <cell r="A221" t="str">
            <v>00DB</v>
          </cell>
        </row>
        <row r="222">
          <cell r="A222" t="str">
            <v>00DC</v>
          </cell>
        </row>
        <row r="223">
          <cell r="A223" t="str">
            <v>00DD</v>
          </cell>
        </row>
        <row r="224">
          <cell r="A224" t="str">
            <v>00DE</v>
          </cell>
        </row>
        <row r="225">
          <cell r="A225" t="str">
            <v>00DF</v>
          </cell>
        </row>
        <row r="226">
          <cell r="A226" t="str">
            <v>00E0</v>
          </cell>
        </row>
        <row r="227">
          <cell r="A227" t="str">
            <v>00E1</v>
          </cell>
        </row>
        <row r="228">
          <cell r="A228" t="str">
            <v>00E2</v>
          </cell>
        </row>
        <row r="229">
          <cell r="A229" t="str">
            <v>00E3</v>
          </cell>
        </row>
        <row r="230">
          <cell r="A230" t="str">
            <v>00E4</v>
          </cell>
        </row>
        <row r="231">
          <cell r="A231" t="str">
            <v>00E5</v>
          </cell>
        </row>
        <row r="232">
          <cell r="A232" t="str">
            <v>00E6</v>
          </cell>
        </row>
        <row r="233">
          <cell r="A233" t="str">
            <v>00E7</v>
          </cell>
        </row>
        <row r="234">
          <cell r="A234" t="str">
            <v>00E8</v>
          </cell>
        </row>
        <row r="235">
          <cell r="A235" t="str">
            <v>00E9</v>
          </cell>
        </row>
        <row r="236">
          <cell r="A236" t="str">
            <v>00EA</v>
          </cell>
        </row>
        <row r="237">
          <cell r="A237" t="str">
            <v>00EB</v>
          </cell>
        </row>
        <row r="238">
          <cell r="A238" t="str">
            <v>00EC</v>
          </cell>
        </row>
        <row r="239">
          <cell r="A239" t="str">
            <v>00ED</v>
          </cell>
        </row>
        <row r="240">
          <cell r="A240" t="str">
            <v>00EE</v>
          </cell>
        </row>
        <row r="241">
          <cell r="A241" t="str">
            <v>00EF</v>
          </cell>
        </row>
        <row r="242">
          <cell r="A242" t="str">
            <v>00F0</v>
          </cell>
        </row>
        <row r="243">
          <cell r="A243" t="str">
            <v>00F1</v>
          </cell>
        </row>
        <row r="244">
          <cell r="A244" t="str">
            <v>00F2</v>
          </cell>
        </row>
        <row r="245">
          <cell r="A245" t="str">
            <v>00F3</v>
          </cell>
        </row>
        <row r="246">
          <cell r="A246" t="str">
            <v>00F4</v>
          </cell>
        </row>
        <row r="247">
          <cell r="A247" t="str">
            <v>00F5</v>
          </cell>
        </row>
        <row r="248">
          <cell r="A248" t="str">
            <v>00F6</v>
          </cell>
        </row>
        <row r="249">
          <cell r="A249" t="str">
            <v>0100</v>
          </cell>
        </row>
        <row r="250">
          <cell r="A250" t="str">
            <v>0101</v>
          </cell>
        </row>
        <row r="251">
          <cell r="A251" t="str">
            <v>0102</v>
          </cell>
        </row>
        <row r="252">
          <cell r="A252" t="str">
            <v>0103</v>
          </cell>
        </row>
        <row r="253">
          <cell r="A253" t="str">
            <v>0104</v>
          </cell>
        </row>
        <row r="254">
          <cell r="A254" t="str">
            <v>0105</v>
          </cell>
        </row>
        <row r="255">
          <cell r="A255" t="str">
            <v>0106</v>
          </cell>
        </row>
        <row r="256">
          <cell r="A256" t="str">
            <v>0107</v>
          </cell>
        </row>
        <row r="257">
          <cell r="A257" t="str">
            <v>0108</v>
          </cell>
        </row>
        <row r="258">
          <cell r="A258" t="str">
            <v>0109</v>
          </cell>
        </row>
        <row r="259">
          <cell r="A259" t="str">
            <v>010A</v>
          </cell>
        </row>
        <row r="260">
          <cell r="A260" t="str">
            <v>010B</v>
          </cell>
        </row>
        <row r="261">
          <cell r="A261" t="str">
            <v>010C</v>
          </cell>
        </row>
        <row r="262">
          <cell r="A262" t="str">
            <v>010D</v>
          </cell>
        </row>
        <row r="263">
          <cell r="A263" t="str">
            <v>010E</v>
          </cell>
        </row>
        <row r="264">
          <cell r="A264" t="str">
            <v>010F</v>
          </cell>
        </row>
        <row r="265">
          <cell r="A265" t="str">
            <v>0110</v>
          </cell>
        </row>
        <row r="266">
          <cell r="A266" t="str">
            <v>0111</v>
          </cell>
        </row>
        <row r="267">
          <cell r="A267" t="str">
            <v>0112</v>
          </cell>
        </row>
        <row r="268">
          <cell r="A268" t="str">
            <v>0113</v>
          </cell>
        </row>
        <row r="269">
          <cell r="A269" t="str">
            <v>0114</v>
          </cell>
        </row>
        <row r="270">
          <cell r="A270" t="str">
            <v>0115</v>
          </cell>
        </row>
        <row r="271">
          <cell r="A271" t="str">
            <v>0116</v>
          </cell>
        </row>
        <row r="272">
          <cell r="A272" t="str">
            <v>0117</v>
          </cell>
        </row>
        <row r="273">
          <cell r="A273" t="str">
            <v>0118</v>
          </cell>
        </row>
        <row r="274">
          <cell r="A274" t="str">
            <v>0119</v>
          </cell>
        </row>
        <row r="275">
          <cell r="A275" t="str">
            <v>011A</v>
          </cell>
        </row>
        <row r="276">
          <cell r="A276" t="str">
            <v>011B</v>
          </cell>
        </row>
        <row r="277">
          <cell r="A277" t="str">
            <v>011C</v>
          </cell>
        </row>
        <row r="278">
          <cell r="A278" t="str">
            <v>011D</v>
          </cell>
        </row>
        <row r="279">
          <cell r="A279" t="str">
            <v>011E</v>
          </cell>
        </row>
        <row r="280">
          <cell r="A280" t="str">
            <v>011F</v>
          </cell>
        </row>
        <row r="281">
          <cell r="A281" t="str">
            <v>0120</v>
          </cell>
        </row>
        <row r="282">
          <cell r="A282" t="str">
            <v>0121</v>
          </cell>
        </row>
        <row r="283">
          <cell r="A283" t="str">
            <v>0122</v>
          </cell>
        </row>
        <row r="284">
          <cell r="A284" t="str">
            <v>0123</v>
          </cell>
        </row>
        <row r="285">
          <cell r="A285" t="str">
            <v>0124</v>
          </cell>
        </row>
        <row r="286">
          <cell r="A286" t="str">
            <v>0125</v>
          </cell>
        </row>
        <row r="287">
          <cell r="A287" t="str">
            <v>0126</v>
          </cell>
        </row>
        <row r="288">
          <cell r="A288" t="str">
            <v>0127</v>
          </cell>
        </row>
        <row r="289">
          <cell r="A289" t="str">
            <v>0128</v>
          </cell>
        </row>
        <row r="290">
          <cell r="A290" t="str">
            <v>0129</v>
          </cell>
        </row>
        <row r="291">
          <cell r="A291" t="str">
            <v>012A</v>
          </cell>
        </row>
        <row r="292">
          <cell r="A292" t="str">
            <v>012B</v>
          </cell>
        </row>
        <row r="293">
          <cell r="A293" t="str">
            <v>012C</v>
          </cell>
        </row>
        <row r="294">
          <cell r="A294" t="str">
            <v>012D</v>
          </cell>
        </row>
        <row r="295">
          <cell r="A295" t="str">
            <v>012E</v>
          </cell>
        </row>
        <row r="296">
          <cell r="A296" t="str">
            <v>012F</v>
          </cell>
        </row>
        <row r="297">
          <cell r="A297" t="str">
            <v>0130</v>
          </cell>
        </row>
        <row r="298">
          <cell r="A298" t="str">
            <v>0131</v>
          </cell>
        </row>
        <row r="299">
          <cell r="A299" t="str">
            <v>0132</v>
          </cell>
        </row>
        <row r="300">
          <cell r="A300" t="str">
            <v>0133</v>
          </cell>
        </row>
        <row r="301">
          <cell r="A301" t="str">
            <v>0134</v>
          </cell>
        </row>
        <row r="302">
          <cell r="A302" t="str">
            <v>0135</v>
          </cell>
        </row>
        <row r="303">
          <cell r="A303" t="str">
            <v>0136</v>
          </cell>
        </row>
        <row r="304">
          <cell r="A304" t="str">
            <v>0137</v>
          </cell>
        </row>
        <row r="305">
          <cell r="A305" t="str">
            <v>0138</v>
          </cell>
        </row>
        <row r="306">
          <cell r="A306" t="str">
            <v>0139</v>
          </cell>
        </row>
        <row r="307">
          <cell r="A307" t="str">
            <v>013A</v>
          </cell>
        </row>
        <row r="308">
          <cell r="A308" t="str">
            <v>013B</v>
          </cell>
        </row>
        <row r="309">
          <cell r="A309" t="str">
            <v>013C</v>
          </cell>
        </row>
        <row r="310">
          <cell r="A310" t="str">
            <v>013D</v>
          </cell>
        </row>
        <row r="311">
          <cell r="A311" t="str">
            <v>013E</v>
          </cell>
        </row>
        <row r="312">
          <cell r="A312" t="str">
            <v>013F</v>
          </cell>
        </row>
        <row r="313">
          <cell r="A313" t="str">
            <v>0140</v>
          </cell>
        </row>
        <row r="314">
          <cell r="A314" t="str">
            <v>0141</v>
          </cell>
        </row>
        <row r="315">
          <cell r="A315" t="str">
            <v>0142</v>
          </cell>
        </row>
        <row r="316">
          <cell r="A316" t="str">
            <v>0143</v>
          </cell>
        </row>
        <row r="317">
          <cell r="A317" t="str">
            <v>0144</v>
          </cell>
        </row>
        <row r="318">
          <cell r="A318" t="str">
            <v>0145</v>
          </cell>
        </row>
        <row r="319">
          <cell r="A319" t="str">
            <v>0146</v>
          </cell>
        </row>
        <row r="320">
          <cell r="A320" t="str">
            <v>0147</v>
          </cell>
        </row>
        <row r="321">
          <cell r="A321" t="str">
            <v>0148</v>
          </cell>
        </row>
        <row r="322">
          <cell r="A322" t="str">
            <v>0149</v>
          </cell>
        </row>
        <row r="323">
          <cell r="A323" t="str">
            <v>014A</v>
          </cell>
        </row>
        <row r="324">
          <cell r="A324" t="str">
            <v>014B</v>
          </cell>
        </row>
        <row r="325">
          <cell r="A325" t="str">
            <v>014C</v>
          </cell>
        </row>
        <row r="326">
          <cell r="A326" t="str">
            <v>014D</v>
          </cell>
        </row>
        <row r="327">
          <cell r="A327" t="str">
            <v>014E</v>
          </cell>
        </row>
        <row r="328">
          <cell r="A328" t="str">
            <v>014F</v>
          </cell>
        </row>
        <row r="329">
          <cell r="A329" t="str">
            <v>0150</v>
          </cell>
        </row>
        <row r="330">
          <cell r="A330" t="str">
            <v>0151</v>
          </cell>
        </row>
        <row r="331">
          <cell r="A331" t="str">
            <v>0152</v>
          </cell>
        </row>
        <row r="332">
          <cell r="A332" t="str">
            <v>0153</v>
          </cell>
        </row>
        <row r="333">
          <cell r="A333" t="str">
            <v>0154</v>
          </cell>
        </row>
        <row r="334">
          <cell r="A334" t="str">
            <v>0155</v>
          </cell>
        </row>
        <row r="335">
          <cell r="A335" t="str">
            <v>0156</v>
          </cell>
        </row>
        <row r="336">
          <cell r="A336" t="str">
            <v>0157</v>
          </cell>
        </row>
        <row r="337">
          <cell r="A337" t="str">
            <v>0158</v>
          </cell>
        </row>
        <row r="338">
          <cell r="A338" t="str">
            <v>0159</v>
          </cell>
        </row>
        <row r="339">
          <cell r="A339" t="str">
            <v>015A</v>
          </cell>
        </row>
        <row r="340">
          <cell r="A340" t="str">
            <v>015B</v>
          </cell>
        </row>
        <row r="341">
          <cell r="A341" t="str">
            <v>015C</v>
          </cell>
        </row>
        <row r="342">
          <cell r="A342" t="str">
            <v>015D</v>
          </cell>
        </row>
        <row r="343">
          <cell r="A343" t="str">
            <v>0160</v>
          </cell>
        </row>
        <row r="344">
          <cell r="A344" t="str">
            <v>0161</v>
          </cell>
        </row>
        <row r="345">
          <cell r="A345" t="str">
            <v>0162</v>
          </cell>
        </row>
        <row r="346">
          <cell r="A346" t="str">
            <v>0163</v>
          </cell>
        </row>
        <row r="347">
          <cell r="A347" t="str">
            <v>0164</v>
          </cell>
        </row>
        <row r="348">
          <cell r="A348" t="str">
            <v>0165</v>
          </cell>
        </row>
        <row r="349">
          <cell r="A349" t="str">
            <v>0166</v>
          </cell>
        </row>
        <row r="350">
          <cell r="A350" t="str">
            <v>0167</v>
          </cell>
        </row>
        <row r="351">
          <cell r="A351" t="str">
            <v>0168</v>
          </cell>
        </row>
        <row r="352">
          <cell r="A352" t="str">
            <v>0169</v>
          </cell>
        </row>
        <row r="353">
          <cell r="A353" t="str">
            <v>016A</v>
          </cell>
        </row>
        <row r="354">
          <cell r="A354" t="str">
            <v>016B</v>
          </cell>
        </row>
        <row r="355">
          <cell r="A355" t="str">
            <v>016C</v>
          </cell>
        </row>
        <row r="356">
          <cell r="A356" t="str">
            <v>016D</v>
          </cell>
        </row>
        <row r="357">
          <cell r="A357" t="str">
            <v>016E</v>
          </cell>
        </row>
        <row r="358">
          <cell r="A358" t="str">
            <v>016F</v>
          </cell>
        </row>
        <row r="359">
          <cell r="A359" t="str">
            <v>0170</v>
          </cell>
        </row>
        <row r="360">
          <cell r="A360" t="str">
            <v>0171</v>
          </cell>
        </row>
        <row r="361">
          <cell r="A361" t="str">
            <v>0172</v>
          </cell>
        </row>
        <row r="362">
          <cell r="A362" t="str">
            <v>0173</v>
          </cell>
        </row>
        <row r="363">
          <cell r="A363" t="str">
            <v>0174</v>
          </cell>
        </row>
        <row r="364">
          <cell r="A364" t="str">
            <v>0175</v>
          </cell>
        </row>
        <row r="365">
          <cell r="A365" t="str">
            <v>0176</v>
          </cell>
        </row>
        <row r="366">
          <cell r="A366" t="str">
            <v>0177</v>
          </cell>
        </row>
        <row r="367">
          <cell r="A367" t="str">
            <v>0178</v>
          </cell>
        </row>
        <row r="368">
          <cell r="A368" t="str">
            <v>0179</v>
          </cell>
        </row>
        <row r="369">
          <cell r="A369" t="str">
            <v>017A</v>
          </cell>
        </row>
        <row r="370">
          <cell r="A370" t="str">
            <v>017B</v>
          </cell>
        </row>
        <row r="371">
          <cell r="A371" t="str">
            <v>017C</v>
          </cell>
        </row>
        <row r="372">
          <cell r="A372" t="str">
            <v>017D</v>
          </cell>
        </row>
        <row r="373">
          <cell r="A373" t="str">
            <v>017E</v>
          </cell>
        </row>
        <row r="374">
          <cell r="A374" t="str">
            <v>0180</v>
          </cell>
        </row>
        <row r="375">
          <cell r="A375" t="str">
            <v>0181</v>
          </cell>
        </row>
        <row r="376">
          <cell r="A376" t="str">
            <v>0182</v>
          </cell>
        </row>
        <row r="377">
          <cell r="A377" t="str">
            <v>0183</v>
          </cell>
        </row>
        <row r="378">
          <cell r="A378" t="str">
            <v>0184</v>
          </cell>
        </row>
        <row r="379">
          <cell r="A379" t="str">
            <v>0185</v>
          </cell>
        </row>
        <row r="380">
          <cell r="A380" t="str">
            <v>0186</v>
          </cell>
        </row>
        <row r="381">
          <cell r="A381" t="str">
            <v>0187</v>
          </cell>
        </row>
        <row r="382">
          <cell r="A382" t="str">
            <v>0188</v>
          </cell>
        </row>
        <row r="383">
          <cell r="A383" t="str">
            <v>0189</v>
          </cell>
        </row>
        <row r="384">
          <cell r="A384" t="str">
            <v>018A</v>
          </cell>
        </row>
        <row r="385">
          <cell r="A385" t="str">
            <v>018B</v>
          </cell>
        </row>
        <row r="386">
          <cell r="A386" t="str">
            <v>018C</v>
          </cell>
        </row>
        <row r="387">
          <cell r="A387" t="str">
            <v>018D</v>
          </cell>
        </row>
        <row r="388">
          <cell r="A388" t="str">
            <v>018E</v>
          </cell>
        </row>
        <row r="389">
          <cell r="A389" t="str">
            <v>018F</v>
          </cell>
        </row>
        <row r="390">
          <cell r="A390" t="str">
            <v>0190</v>
          </cell>
        </row>
        <row r="391">
          <cell r="A391" t="str">
            <v>0191</v>
          </cell>
        </row>
        <row r="392">
          <cell r="A392" t="str">
            <v>0192</v>
          </cell>
        </row>
        <row r="393">
          <cell r="A393" t="str">
            <v>0193</v>
          </cell>
        </row>
        <row r="394">
          <cell r="A394" t="str">
            <v>0194</v>
          </cell>
        </row>
        <row r="395">
          <cell r="A395" t="str">
            <v>0195</v>
          </cell>
        </row>
        <row r="396">
          <cell r="A396" t="str">
            <v>0196</v>
          </cell>
        </row>
        <row r="397">
          <cell r="A397" t="str">
            <v>0197</v>
          </cell>
        </row>
        <row r="398">
          <cell r="A398" t="str">
            <v>0198</v>
          </cell>
        </row>
        <row r="399">
          <cell r="A399" t="str">
            <v>0199</v>
          </cell>
        </row>
        <row r="400">
          <cell r="A400" t="str">
            <v>019A</v>
          </cell>
        </row>
        <row r="401">
          <cell r="A401" t="str">
            <v>019B</v>
          </cell>
        </row>
        <row r="402">
          <cell r="A402" t="str">
            <v>019C</v>
          </cell>
        </row>
        <row r="403">
          <cell r="A403" t="str">
            <v>019D</v>
          </cell>
        </row>
        <row r="404">
          <cell r="A404" t="str">
            <v>019E</v>
          </cell>
        </row>
        <row r="405">
          <cell r="A405" t="str">
            <v>019F</v>
          </cell>
        </row>
        <row r="406">
          <cell r="A406" t="str">
            <v>01A0</v>
          </cell>
        </row>
        <row r="407">
          <cell r="A407" t="str">
            <v>01A1</v>
          </cell>
        </row>
        <row r="408">
          <cell r="A408" t="str">
            <v>01A2</v>
          </cell>
        </row>
        <row r="409">
          <cell r="A409" t="str">
            <v>01A3</v>
          </cell>
        </row>
        <row r="410">
          <cell r="A410" t="str">
            <v>01A4</v>
          </cell>
        </row>
        <row r="411">
          <cell r="A411" t="str">
            <v>01A5</v>
          </cell>
        </row>
        <row r="412">
          <cell r="A412" t="str">
            <v>01A6</v>
          </cell>
        </row>
        <row r="413">
          <cell r="A413" t="str">
            <v>01A7</v>
          </cell>
        </row>
        <row r="414">
          <cell r="A414" t="str">
            <v>01A8</v>
          </cell>
        </row>
        <row r="415">
          <cell r="A415" t="str">
            <v>01A9</v>
          </cell>
        </row>
        <row r="416">
          <cell r="A416" t="str">
            <v>01AA</v>
          </cell>
        </row>
        <row r="417">
          <cell r="A417" t="str">
            <v>01AB</v>
          </cell>
        </row>
        <row r="418">
          <cell r="A418" t="str">
            <v>01AC</v>
          </cell>
        </row>
        <row r="419">
          <cell r="A419" t="str">
            <v>01AD</v>
          </cell>
        </row>
        <row r="420">
          <cell r="A420" t="str">
            <v>01AE</v>
          </cell>
        </row>
        <row r="421">
          <cell r="A421" t="str">
            <v>01AF</v>
          </cell>
        </row>
        <row r="422">
          <cell r="A422" t="str">
            <v>01B0</v>
          </cell>
        </row>
        <row r="423">
          <cell r="A423" t="str">
            <v>01B1</v>
          </cell>
        </row>
        <row r="424">
          <cell r="A424" t="str">
            <v>01B2</v>
          </cell>
        </row>
        <row r="425">
          <cell r="A425" t="str">
            <v>01B3</v>
          </cell>
        </row>
        <row r="426">
          <cell r="A426" t="str">
            <v>01B4</v>
          </cell>
        </row>
        <row r="427">
          <cell r="A427" t="str">
            <v>01B5</v>
          </cell>
        </row>
        <row r="428">
          <cell r="A428" t="str">
            <v>01B6</v>
          </cell>
        </row>
        <row r="429">
          <cell r="A429" t="str">
            <v>01B7</v>
          </cell>
        </row>
        <row r="430">
          <cell r="A430" t="str">
            <v>01B8</v>
          </cell>
        </row>
        <row r="431">
          <cell r="A431" t="str">
            <v>01B9</v>
          </cell>
        </row>
        <row r="432">
          <cell r="A432" t="str">
            <v>01BA</v>
          </cell>
        </row>
        <row r="433">
          <cell r="A433" t="str">
            <v>01BB</v>
          </cell>
        </row>
        <row r="434">
          <cell r="A434" t="str">
            <v>01BC</v>
          </cell>
        </row>
        <row r="435">
          <cell r="A435" t="str">
            <v>01BD</v>
          </cell>
        </row>
        <row r="436">
          <cell r="A436" t="str">
            <v>01BE</v>
          </cell>
        </row>
        <row r="437">
          <cell r="A437" t="str">
            <v>01BF</v>
          </cell>
        </row>
        <row r="438">
          <cell r="A438" t="str">
            <v>01C0</v>
          </cell>
        </row>
        <row r="439">
          <cell r="A439" t="str">
            <v>01C1</v>
          </cell>
        </row>
        <row r="440">
          <cell r="A440" t="str">
            <v>01C2</v>
          </cell>
        </row>
        <row r="441">
          <cell r="A441" t="str">
            <v>01C3</v>
          </cell>
        </row>
        <row r="442">
          <cell r="A442" t="str">
            <v>01C4</v>
          </cell>
        </row>
        <row r="443">
          <cell r="A443" t="str">
            <v>01C5</v>
          </cell>
        </row>
        <row r="444">
          <cell r="A444" t="str">
            <v>01C6</v>
          </cell>
        </row>
        <row r="445">
          <cell r="A445" t="str">
            <v>01C7</v>
          </cell>
        </row>
        <row r="446">
          <cell r="A446" t="str">
            <v>01C8</v>
          </cell>
        </row>
        <row r="447">
          <cell r="A447" t="str">
            <v>01C9</v>
          </cell>
        </row>
        <row r="448">
          <cell r="A448" t="str">
            <v>01CA</v>
          </cell>
        </row>
        <row r="449">
          <cell r="A449" t="str">
            <v>01CB</v>
          </cell>
        </row>
        <row r="450">
          <cell r="A450" t="str">
            <v>01CC</v>
          </cell>
        </row>
        <row r="451">
          <cell r="A451" t="str">
            <v>01CD</v>
          </cell>
        </row>
        <row r="452">
          <cell r="A452" t="str">
            <v>01CE</v>
          </cell>
        </row>
        <row r="453">
          <cell r="A453" t="str">
            <v>01CF</v>
          </cell>
        </row>
        <row r="454">
          <cell r="A454" t="str">
            <v>01D0</v>
          </cell>
        </row>
        <row r="455">
          <cell r="A455" t="str">
            <v>01D1</v>
          </cell>
        </row>
        <row r="456">
          <cell r="A456" t="str">
            <v>01D2</v>
          </cell>
        </row>
        <row r="457">
          <cell r="A457" t="str">
            <v>01D3</v>
          </cell>
        </row>
        <row r="458">
          <cell r="A458" t="str">
            <v>01D4</v>
          </cell>
        </row>
        <row r="459">
          <cell r="A459" t="str">
            <v>01D5</v>
          </cell>
        </row>
        <row r="460">
          <cell r="A460" t="str">
            <v>01D6</v>
          </cell>
        </row>
        <row r="461">
          <cell r="A461" t="str">
            <v>01D7</v>
          </cell>
        </row>
        <row r="462">
          <cell r="A462" t="str">
            <v>01D8</v>
          </cell>
        </row>
        <row r="463">
          <cell r="A463" t="str">
            <v>01D9</v>
          </cell>
        </row>
        <row r="464">
          <cell r="A464" t="str">
            <v>01DA</v>
          </cell>
        </row>
        <row r="465">
          <cell r="A465" t="str">
            <v>01DB</v>
          </cell>
        </row>
        <row r="466">
          <cell r="A466" t="str">
            <v>01DC</v>
          </cell>
        </row>
        <row r="467">
          <cell r="A467" t="str">
            <v>01DD</v>
          </cell>
        </row>
        <row r="468">
          <cell r="A468" t="str">
            <v>01DE</v>
          </cell>
        </row>
        <row r="469">
          <cell r="A469" t="str">
            <v>01DF</v>
          </cell>
        </row>
        <row r="470">
          <cell r="A470" t="str">
            <v>01E0</v>
          </cell>
        </row>
        <row r="471">
          <cell r="A471" t="str">
            <v>01E1</v>
          </cell>
        </row>
        <row r="472">
          <cell r="A472" t="str">
            <v>01E2</v>
          </cell>
        </row>
        <row r="473">
          <cell r="A473" t="str">
            <v>01E3</v>
          </cell>
        </row>
        <row r="474">
          <cell r="A474" t="str">
            <v>01E4</v>
          </cell>
        </row>
        <row r="475">
          <cell r="A475" t="str">
            <v>01E5</v>
          </cell>
        </row>
        <row r="476">
          <cell r="A476" t="str">
            <v>01E6</v>
          </cell>
        </row>
        <row r="477">
          <cell r="A477" t="str">
            <v>01E7</v>
          </cell>
        </row>
        <row r="478">
          <cell r="A478" t="str">
            <v>01E8</v>
          </cell>
        </row>
        <row r="479">
          <cell r="A479" t="str">
            <v>01E9</v>
          </cell>
        </row>
        <row r="480">
          <cell r="A480" t="str">
            <v>01EA</v>
          </cell>
        </row>
        <row r="481">
          <cell r="A481" t="str">
            <v>01EB</v>
          </cell>
        </row>
        <row r="482">
          <cell r="A482" t="str">
            <v>01EC</v>
          </cell>
        </row>
        <row r="483">
          <cell r="A483" t="str">
            <v>01ED</v>
          </cell>
        </row>
        <row r="484">
          <cell r="A484" t="str">
            <v>01EE</v>
          </cell>
        </row>
        <row r="485">
          <cell r="A485" t="str">
            <v>01EF</v>
          </cell>
        </row>
        <row r="486">
          <cell r="A486" t="str">
            <v>01F0</v>
          </cell>
        </row>
        <row r="487">
          <cell r="A487" t="str">
            <v>0200</v>
          </cell>
        </row>
        <row r="488">
          <cell r="A488" t="str">
            <v>0201</v>
          </cell>
        </row>
        <row r="489">
          <cell r="A489" t="str">
            <v>0202</v>
          </cell>
        </row>
        <row r="490">
          <cell r="A490" t="str">
            <v>0203</v>
          </cell>
        </row>
        <row r="491">
          <cell r="A491" t="str">
            <v>0204</v>
          </cell>
        </row>
        <row r="492">
          <cell r="A492" t="str">
            <v>0205</v>
          </cell>
        </row>
        <row r="493">
          <cell r="A493" t="str">
            <v>0206</v>
          </cell>
        </row>
        <row r="494">
          <cell r="A494" t="str">
            <v>0207</v>
          </cell>
        </row>
        <row r="495">
          <cell r="A495" t="str">
            <v>0208</v>
          </cell>
        </row>
        <row r="496">
          <cell r="A496" t="str">
            <v>0209</v>
          </cell>
        </row>
        <row r="497">
          <cell r="A497" t="str">
            <v>020A</v>
          </cell>
        </row>
        <row r="498">
          <cell r="A498" t="str">
            <v>020B</v>
          </cell>
        </row>
        <row r="499">
          <cell r="A499" t="str">
            <v>020C</v>
          </cell>
        </row>
        <row r="500">
          <cell r="A500" t="str">
            <v>020D</v>
          </cell>
        </row>
        <row r="501">
          <cell r="A501" t="str">
            <v>020E</v>
          </cell>
        </row>
        <row r="502">
          <cell r="A502" t="str">
            <v>020F</v>
          </cell>
        </row>
        <row r="503">
          <cell r="A503" t="str">
            <v>0210</v>
          </cell>
        </row>
        <row r="504">
          <cell r="A504" t="str">
            <v>0211</v>
          </cell>
        </row>
        <row r="505">
          <cell r="A505" t="str">
            <v>0212</v>
          </cell>
        </row>
        <row r="506">
          <cell r="A506" t="str">
            <v>0213</v>
          </cell>
        </row>
        <row r="507">
          <cell r="A507" t="str">
            <v>0214</v>
          </cell>
        </row>
        <row r="508">
          <cell r="A508" t="str">
            <v>0215</v>
          </cell>
        </row>
        <row r="509">
          <cell r="A509" t="str">
            <v>0216</v>
          </cell>
        </row>
        <row r="510">
          <cell r="A510" t="str">
            <v>0217</v>
          </cell>
        </row>
        <row r="511">
          <cell r="A511" t="str">
            <v>0218</v>
          </cell>
        </row>
        <row r="512">
          <cell r="A512" t="str">
            <v>0219</v>
          </cell>
        </row>
        <row r="513">
          <cell r="A513" t="str">
            <v>021A</v>
          </cell>
        </row>
        <row r="514">
          <cell r="A514" t="str">
            <v>021B</v>
          </cell>
        </row>
        <row r="515">
          <cell r="A515" t="str">
            <v>021C</v>
          </cell>
        </row>
        <row r="516">
          <cell r="A516" t="str">
            <v>021D</v>
          </cell>
        </row>
        <row r="517">
          <cell r="A517" t="str">
            <v>021E</v>
          </cell>
        </row>
        <row r="518">
          <cell r="A518" t="str">
            <v>021F</v>
          </cell>
        </row>
        <row r="519">
          <cell r="A519" t="str">
            <v>0220</v>
          </cell>
        </row>
        <row r="520">
          <cell r="A520" t="str">
            <v>0221</v>
          </cell>
        </row>
        <row r="521">
          <cell r="A521" t="str">
            <v>0222</v>
          </cell>
        </row>
        <row r="522">
          <cell r="A522" t="str">
            <v>0223</v>
          </cell>
        </row>
        <row r="523">
          <cell r="A523" t="str">
            <v>0224</v>
          </cell>
        </row>
        <row r="524">
          <cell r="A524" t="str">
            <v>0225</v>
          </cell>
        </row>
        <row r="525">
          <cell r="A525" t="str">
            <v>0226</v>
          </cell>
        </row>
        <row r="526">
          <cell r="A526" t="str">
            <v>0227</v>
          </cell>
        </row>
        <row r="527">
          <cell r="A527" t="str">
            <v>0228</v>
          </cell>
        </row>
        <row r="528">
          <cell r="A528" t="str">
            <v>0229</v>
          </cell>
        </row>
        <row r="529">
          <cell r="A529" t="str">
            <v>022A</v>
          </cell>
        </row>
        <row r="530">
          <cell r="A530" t="str">
            <v>022B</v>
          </cell>
        </row>
        <row r="531">
          <cell r="A531" t="str">
            <v>022C</v>
          </cell>
        </row>
        <row r="532">
          <cell r="A532" t="str">
            <v>022D</v>
          </cell>
        </row>
        <row r="533">
          <cell r="A533" t="str">
            <v>022E</v>
          </cell>
        </row>
        <row r="534">
          <cell r="A534" t="str">
            <v>022F</v>
          </cell>
        </row>
        <row r="535">
          <cell r="A535" t="str">
            <v>0230</v>
          </cell>
        </row>
        <row r="536">
          <cell r="A536" t="str">
            <v>0231</v>
          </cell>
        </row>
        <row r="537">
          <cell r="A537" t="str">
            <v>0232</v>
          </cell>
        </row>
        <row r="538">
          <cell r="A538" t="str">
            <v>0233</v>
          </cell>
        </row>
        <row r="539">
          <cell r="A539" t="str">
            <v>0234</v>
          </cell>
        </row>
        <row r="540">
          <cell r="A540" t="str">
            <v>0235</v>
          </cell>
        </row>
        <row r="541">
          <cell r="A541" t="str">
            <v>0236</v>
          </cell>
        </row>
        <row r="542">
          <cell r="A542" t="str">
            <v>0237</v>
          </cell>
        </row>
        <row r="543">
          <cell r="A543" t="str">
            <v>0238</v>
          </cell>
        </row>
        <row r="544">
          <cell r="A544" t="str">
            <v>0239</v>
          </cell>
        </row>
        <row r="545">
          <cell r="A545" t="str">
            <v>023A</v>
          </cell>
        </row>
        <row r="546">
          <cell r="A546" t="str">
            <v>023B</v>
          </cell>
        </row>
        <row r="547">
          <cell r="A547" t="str">
            <v>023C</v>
          </cell>
        </row>
        <row r="548">
          <cell r="A548" t="str">
            <v>023D</v>
          </cell>
        </row>
        <row r="549">
          <cell r="A549" t="str">
            <v>023E</v>
          </cell>
        </row>
        <row r="550">
          <cell r="A550" t="str">
            <v>023F</v>
          </cell>
        </row>
        <row r="551">
          <cell r="A551" t="str">
            <v>0240</v>
          </cell>
        </row>
        <row r="552">
          <cell r="A552" t="str">
            <v>0241</v>
          </cell>
        </row>
        <row r="553">
          <cell r="A553" t="str">
            <v>0242</v>
          </cell>
        </row>
        <row r="554">
          <cell r="A554" t="str">
            <v>0243</v>
          </cell>
        </row>
        <row r="555">
          <cell r="A555" t="str">
            <v>0244</v>
          </cell>
        </row>
        <row r="556">
          <cell r="A556" t="str">
            <v>0245</v>
          </cell>
        </row>
        <row r="557">
          <cell r="A557" t="str">
            <v>0246</v>
          </cell>
        </row>
        <row r="558">
          <cell r="A558" t="str">
            <v>0247</v>
          </cell>
        </row>
        <row r="559">
          <cell r="A559" t="str">
            <v>0248</v>
          </cell>
        </row>
        <row r="560">
          <cell r="A560" t="str">
            <v>0249</v>
          </cell>
        </row>
        <row r="561">
          <cell r="A561" t="str">
            <v>024A</v>
          </cell>
        </row>
        <row r="562">
          <cell r="A562" t="str">
            <v>024B</v>
          </cell>
        </row>
        <row r="563">
          <cell r="A563" t="str">
            <v>024C</v>
          </cell>
        </row>
        <row r="564">
          <cell r="A564" t="str">
            <v>024D</v>
          </cell>
        </row>
        <row r="565">
          <cell r="A565" t="str">
            <v>024E</v>
          </cell>
        </row>
        <row r="566">
          <cell r="A566" t="str">
            <v>024F</v>
          </cell>
        </row>
        <row r="567">
          <cell r="A567" t="str">
            <v>0250</v>
          </cell>
        </row>
        <row r="568">
          <cell r="A568" t="str">
            <v>0251</v>
          </cell>
        </row>
        <row r="569">
          <cell r="A569" t="str">
            <v>0252</v>
          </cell>
        </row>
        <row r="570">
          <cell r="A570" t="str">
            <v>0253</v>
          </cell>
        </row>
        <row r="571">
          <cell r="A571" t="str">
            <v>0254</v>
          </cell>
        </row>
        <row r="572">
          <cell r="A572" t="str">
            <v>0255</v>
          </cell>
        </row>
        <row r="573">
          <cell r="A573" t="str">
            <v>0256</v>
          </cell>
        </row>
        <row r="574">
          <cell r="A574" t="str">
            <v>0257</v>
          </cell>
        </row>
        <row r="575">
          <cell r="A575" t="str">
            <v>0258</v>
          </cell>
        </row>
        <row r="576">
          <cell r="A576" t="str">
            <v>0259</v>
          </cell>
        </row>
        <row r="577">
          <cell r="A577" t="str">
            <v>025A</v>
          </cell>
        </row>
        <row r="578">
          <cell r="A578" t="str">
            <v>025B</v>
          </cell>
        </row>
        <row r="579">
          <cell r="A579" t="str">
            <v>025C</v>
          </cell>
        </row>
        <row r="580">
          <cell r="A580" t="str">
            <v>025D</v>
          </cell>
        </row>
        <row r="581">
          <cell r="A581" t="str">
            <v>025E</v>
          </cell>
        </row>
        <row r="582">
          <cell r="A582" t="str">
            <v>025F</v>
          </cell>
        </row>
        <row r="583">
          <cell r="A583" t="str">
            <v>0260</v>
          </cell>
        </row>
        <row r="584">
          <cell r="A584" t="str">
            <v>0261</v>
          </cell>
        </row>
        <row r="585">
          <cell r="A585" t="str">
            <v>0262</v>
          </cell>
        </row>
        <row r="586">
          <cell r="A586" t="str">
            <v>0263</v>
          </cell>
        </row>
        <row r="587">
          <cell r="A587" t="str">
            <v>0264</v>
          </cell>
        </row>
        <row r="588">
          <cell r="A588" t="str">
            <v>0265</v>
          </cell>
        </row>
        <row r="589">
          <cell r="A589" t="str">
            <v>0266</v>
          </cell>
        </row>
        <row r="590">
          <cell r="A590" t="str">
            <v>0267</v>
          </cell>
        </row>
        <row r="591">
          <cell r="A591" t="str">
            <v>0268</v>
          </cell>
        </row>
        <row r="592">
          <cell r="A592" t="str">
            <v>0269</v>
          </cell>
        </row>
        <row r="593">
          <cell r="A593" t="str">
            <v>026A</v>
          </cell>
        </row>
        <row r="594">
          <cell r="A594" t="str">
            <v>026B</v>
          </cell>
        </row>
        <row r="595">
          <cell r="A595" t="str">
            <v>026C</v>
          </cell>
        </row>
        <row r="596">
          <cell r="A596" t="str">
            <v>026D</v>
          </cell>
        </row>
        <row r="597">
          <cell r="A597" t="str">
            <v>0270</v>
          </cell>
        </row>
        <row r="598">
          <cell r="A598" t="str">
            <v>0271</v>
          </cell>
        </row>
        <row r="599">
          <cell r="A599" t="str">
            <v>0272</v>
          </cell>
        </row>
        <row r="600">
          <cell r="A600" t="str">
            <v>0273</v>
          </cell>
        </row>
        <row r="601">
          <cell r="A601" t="str">
            <v>0274</v>
          </cell>
        </row>
        <row r="602">
          <cell r="A602" t="str">
            <v>0275</v>
          </cell>
        </row>
        <row r="603">
          <cell r="A603" t="str">
            <v>0276</v>
          </cell>
        </row>
        <row r="604">
          <cell r="A604" t="str">
            <v>0277</v>
          </cell>
        </row>
        <row r="605">
          <cell r="A605" t="str">
            <v>0278</v>
          </cell>
        </row>
        <row r="606">
          <cell r="A606" t="str">
            <v>0279</v>
          </cell>
        </row>
        <row r="607">
          <cell r="A607" t="str">
            <v>027A</v>
          </cell>
        </row>
        <row r="608">
          <cell r="A608" t="str">
            <v>027B</v>
          </cell>
        </row>
        <row r="609">
          <cell r="A609" t="str">
            <v>027C</v>
          </cell>
        </row>
        <row r="610">
          <cell r="A610" t="str">
            <v>027D</v>
          </cell>
        </row>
        <row r="611">
          <cell r="A611" t="str">
            <v>0280</v>
          </cell>
        </row>
        <row r="612">
          <cell r="A612" t="str">
            <v>0281</v>
          </cell>
        </row>
        <row r="613">
          <cell r="A613" t="str">
            <v>0282</v>
          </cell>
        </row>
        <row r="614">
          <cell r="A614" t="str">
            <v>0283</v>
          </cell>
        </row>
        <row r="615">
          <cell r="A615" t="str">
            <v>0284</v>
          </cell>
        </row>
        <row r="616">
          <cell r="A616" t="str">
            <v>0285</v>
          </cell>
        </row>
        <row r="617">
          <cell r="A617" t="str">
            <v>0286</v>
          </cell>
        </row>
        <row r="618">
          <cell r="A618" t="str">
            <v>0287</v>
          </cell>
        </row>
        <row r="619">
          <cell r="A619" t="str">
            <v>0288</v>
          </cell>
        </row>
        <row r="620">
          <cell r="A620" t="str">
            <v>0289</v>
          </cell>
        </row>
        <row r="621">
          <cell r="A621" t="str">
            <v>028A</v>
          </cell>
        </row>
        <row r="622">
          <cell r="A622" t="str">
            <v>028B</v>
          </cell>
        </row>
        <row r="623">
          <cell r="A623" t="str">
            <v>028C</v>
          </cell>
        </row>
        <row r="624">
          <cell r="A624" t="str">
            <v>028D</v>
          </cell>
        </row>
        <row r="625">
          <cell r="A625" t="str">
            <v>028E</v>
          </cell>
        </row>
        <row r="626">
          <cell r="A626" t="str">
            <v>028F</v>
          </cell>
        </row>
        <row r="627">
          <cell r="A627" t="str">
            <v>0290</v>
          </cell>
        </row>
        <row r="628">
          <cell r="A628" t="str">
            <v>0291</v>
          </cell>
        </row>
        <row r="629">
          <cell r="A629" t="str">
            <v>0292</v>
          </cell>
        </row>
        <row r="630">
          <cell r="A630" t="str">
            <v>0293</v>
          </cell>
        </row>
        <row r="631">
          <cell r="A631" t="str">
            <v>0294</v>
          </cell>
        </row>
        <row r="632">
          <cell r="A632" t="str">
            <v>0295</v>
          </cell>
        </row>
        <row r="633">
          <cell r="A633" t="str">
            <v>0296</v>
          </cell>
        </row>
        <row r="634">
          <cell r="A634" t="str">
            <v>0297</v>
          </cell>
        </row>
        <row r="635">
          <cell r="A635" t="str">
            <v>0298</v>
          </cell>
        </row>
        <row r="636">
          <cell r="A636" t="str">
            <v>0299</v>
          </cell>
        </row>
        <row r="637">
          <cell r="A637" t="str">
            <v>029A</v>
          </cell>
        </row>
        <row r="638">
          <cell r="A638" t="str">
            <v>029B</v>
          </cell>
        </row>
        <row r="639">
          <cell r="A639" t="str">
            <v>029C</v>
          </cell>
        </row>
        <row r="640">
          <cell r="A640" t="str">
            <v>029D</v>
          </cell>
        </row>
        <row r="641">
          <cell r="A641" t="str">
            <v>029E</v>
          </cell>
        </row>
        <row r="642">
          <cell r="A642" t="str">
            <v>029F</v>
          </cell>
        </row>
        <row r="643">
          <cell r="A643" t="str">
            <v>02A0</v>
          </cell>
        </row>
        <row r="644">
          <cell r="A644" t="str">
            <v>02A1</v>
          </cell>
        </row>
        <row r="645">
          <cell r="A645" t="str">
            <v>02A2</v>
          </cell>
        </row>
        <row r="646">
          <cell r="A646" t="str">
            <v>02A3</v>
          </cell>
        </row>
        <row r="647">
          <cell r="A647" t="str">
            <v>02A4</v>
          </cell>
        </row>
        <row r="648">
          <cell r="A648" t="str">
            <v>02A5</v>
          </cell>
        </row>
        <row r="649">
          <cell r="A649" t="str">
            <v>02A6</v>
          </cell>
        </row>
        <row r="650">
          <cell r="A650" t="str">
            <v>02A7</v>
          </cell>
        </row>
        <row r="651">
          <cell r="A651" t="str">
            <v>02A8</v>
          </cell>
        </row>
        <row r="652">
          <cell r="A652" t="str">
            <v>02A9</v>
          </cell>
        </row>
        <row r="653">
          <cell r="A653" t="str">
            <v>02AA</v>
          </cell>
        </row>
        <row r="654">
          <cell r="A654" t="str">
            <v>02AB</v>
          </cell>
        </row>
        <row r="655">
          <cell r="A655" t="str">
            <v>02AC</v>
          </cell>
        </row>
        <row r="656">
          <cell r="A656" t="str">
            <v>02AD</v>
          </cell>
        </row>
        <row r="657">
          <cell r="A657" t="str">
            <v>02AE</v>
          </cell>
        </row>
        <row r="658">
          <cell r="A658" t="str">
            <v>02AF</v>
          </cell>
        </row>
        <row r="659">
          <cell r="A659" t="str">
            <v>02B0</v>
          </cell>
        </row>
        <row r="660">
          <cell r="A660" t="str">
            <v>02B1</v>
          </cell>
        </row>
        <row r="661">
          <cell r="A661" t="str">
            <v>02B2</v>
          </cell>
        </row>
        <row r="662">
          <cell r="A662" t="str">
            <v>02B3</v>
          </cell>
        </row>
        <row r="663">
          <cell r="A663" t="str">
            <v>02B4</v>
          </cell>
        </row>
        <row r="664">
          <cell r="A664" t="str">
            <v>02B5</v>
          </cell>
        </row>
        <row r="665">
          <cell r="A665" t="str">
            <v>02B6</v>
          </cell>
        </row>
        <row r="666">
          <cell r="A666" t="str">
            <v>02B7</v>
          </cell>
        </row>
        <row r="667">
          <cell r="A667" t="str">
            <v>02B8</v>
          </cell>
        </row>
        <row r="668">
          <cell r="A668" t="str">
            <v>02B9</v>
          </cell>
        </row>
        <row r="669">
          <cell r="A669" t="str">
            <v>02BA</v>
          </cell>
        </row>
        <row r="670">
          <cell r="A670" t="str">
            <v>02BB</v>
          </cell>
        </row>
        <row r="671">
          <cell r="A671" t="str">
            <v>02BC</v>
          </cell>
        </row>
        <row r="672">
          <cell r="A672" t="str">
            <v>02BD</v>
          </cell>
        </row>
        <row r="673">
          <cell r="A673" t="str">
            <v>02BE</v>
          </cell>
        </row>
        <row r="674">
          <cell r="A674" t="str">
            <v>02BF</v>
          </cell>
        </row>
        <row r="675">
          <cell r="A675" t="str">
            <v>02C0</v>
          </cell>
        </row>
        <row r="676">
          <cell r="A676" t="str">
            <v>02C1</v>
          </cell>
        </row>
        <row r="677">
          <cell r="A677" t="str">
            <v>02C2</v>
          </cell>
        </row>
        <row r="678">
          <cell r="A678" t="str">
            <v>02C3</v>
          </cell>
        </row>
        <row r="679">
          <cell r="A679" t="str">
            <v>02C4</v>
          </cell>
        </row>
        <row r="680">
          <cell r="A680" t="str">
            <v>02C5</v>
          </cell>
        </row>
        <row r="681">
          <cell r="A681" t="str">
            <v>02C6</v>
          </cell>
        </row>
        <row r="682">
          <cell r="A682" t="str">
            <v>02C7</v>
          </cell>
        </row>
        <row r="683">
          <cell r="A683" t="str">
            <v>02C8</v>
          </cell>
        </row>
        <row r="684">
          <cell r="A684" t="str">
            <v>02C9</v>
          </cell>
        </row>
        <row r="685">
          <cell r="A685" t="str">
            <v>02CA</v>
          </cell>
        </row>
        <row r="686">
          <cell r="A686" t="str">
            <v>02CB</v>
          </cell>
        </row>
        <row r="687">
          <cell r="A687" t="str">
            <v>02CC</v>
          </cell>
        </row>
        <row r="688">
          <cell r="A688" t="str">
            <v>02CD</v>
          </cell>
        </row>
        <row r="689">
          <cell r="A689" t="str">
            <v>02CE</v>
          </cell>
        </row>
        <row r="690">
          <cell r="A690" t="str">
            <v>02CF</v>
          </cell>
        </row>
        <row r="691">
          <cell r="A691" t="str">
            <v>02D0</v>
          </cell>
        </row>
        <row r="692">
          <cell r="A692" t="str">
            <v>02D1</v>
          </cell>
        </row>
        <row r="693">
          <cell r="A693" t="str">
            <v>02D2</v>
          </cell>
        </row>
        <row r="694">
          <cell r="A694" t="str">
            <v>02D3</v>
          </cell>
        </row>
        <row r="695">
          <cell r="A695" t="str">
            <v>02D4</v>
          </cell>
        </row>
        <row r="696">
          <cell r="A696" t="str">
            <v>02D5</v>
          </cell>
        </row>
        <row r="697">
          <cell r="A697" t="str">
            <v>02D6</v>
          </cell>
        </row>
        <row r="698">
          <cell r="A698" t="str">
            <v>02D7</v>
          </cell>
        </row>
        <row r="699">
          <cell r="A699" t="str">
            <v>02D8</v>
          </cell>
        </row>
        <row r="700">
          <cell r="A700" t="str">
            <v>02D9</v>
          </cell>
        </row>
        <row r="701">
          <cell r="A701" t="str">
            <v>02DA</v>
          </cell>
        </row>
        <row r="702">
          <cell r="A702" t="str">
            <v>02DB</v>
          </cell>
        </row>
        <row r="703">
          <cell r="A703" t="str">
            <v>02DC</v>
          </cell>
        </row>
        <row r="704">
          <cell r="A704" t="str">
            <v>02DD</v>
          </cell>
        </row>
        <row r="705">
          <cell r="A705" t="str">
            <v>02DE</v>
          </cell>
        </row>
        <row r="706">
          <cell r="A706" t="str">
            <v>02DF</v>
          </cell>
        </row>
        <row r="707">
          <cell r="A707" t="str">
            <v>02E0</v>
          </cell>
        </row>
        <row r="708">
          <cell r="A708" t="str">
            <v>02E1</v>
          </cell>
        </row>
        <row r="709">
          <cell r="A709" t="str">
            <v>02E2</v>
          </cell>
        </row>
        <row r="710">
          <cell r="A710" t="str">
            <v>02E3</v>
          </cell>
        </row>
        <row r="711">
          <cell r="A711" t="str">
            <v>02E4</v>
          </cell>
        </row>
        <row r="712">
          <cell r="A712" t="str">
            <v>02E5</v>
          </cell>
        </row>
        <row r="713">
          <cell r="A713" t="str">
            <v>02E6</v>
          </cell>
        </row>
        <row r="714">
          <cell r="A714" t="str">
            <v>02E7</v>
          </cell>
        </row>
        <row r="715">
          <cell r="A715" t="str">
            <v>02E8</v>
          </cell>
        </row>
        <row r="716">
          <cell r="A716" t="str">
            <v>02E9</v>
          </cell>
        </row>
        <row r="717">
          <cell r="A717" t="str">
            <v>02EA</v>
          </cell>
        </row>
        <row r="718">
          <cell r="A718" t="str">
            <v>02EB</v>
          </cell>
        </row>
        <row r="719">
          <cell r="A719" t="str">
            <v>02EC</v>
          </cell>
        </row>
        <row r="720">
          <cell r="A720" t="str">
            <v>02ED</v>
          </cell>
        </row>
        <row r="721">
          <cell r="A721" t="str">
            <v>02EE</v>
          </cell>
        </row>
        <row r="722">
          <cell r="A722" t="str">
            <v>02EF</v>
          </cell>
        </row>
        <row r="723">
          <cell r="A723" t="str">
            <v>02F0</v>
          </cell>
        </row>
        <row r="724">
          <cell r="A724" t="str">
            <v>02F1</v>
          </cell>
        </row>
        <row r="725">
          <cell r="A725" t="str">
            <v>02F2</v>
          </cell>
        </row>
        <row r="726">
          <cell r="A726" t="str">
            <v>02F3</v>
          </cell>
        </row>
        <row r="727">
          <cell r="A727" t="str">
            <v>02F4</v>
          </cell>
        </row>
        <row r="728">
          <cell r="A728" t="str">
            <v>02F5</v>
          </cell>
        </row>
        <row r="729">
          <cell r="A729" t="str">
            <v>02F6</v>
          </cell>
        </row>
        <row r="730">
          <cell r="A730" t="str">
            <v>02F7</v>
          </cell>
        </row>
        <row r="731">
          <cell r="A731" t="str">
            <v>02F8</v>
          </cell>
        </row>
        <row r="732">
          <cell r="A732" t="str">
            <v>02F9</v>
          </cell>
        </row>
        <row r="733">
          <cell r="A733" t="str">
            <v>02FA</v>
          </cell>
        </row>
        <row r="734">
          <cell r="A734" t="str">
            <v>02FB</v>
          </cell>
        </row>
        <row r="735">
          <cell r="A735" t="str">
            <v>02FC</v>
          </cell>
        </row>
        <row r="736">
          <cell r="A736" t="str">
            <v>02FD</v>
          </cell>
        </row>
        <row r="737">
          <cell r="A737" t="str">
            <v>02FE</v>
          </cell>
        </row>
        <row r="738">
          <cell r="A738" t="str">
            <v>0300</v>
          </cell>
        </row>
        <row r="739">
          <cell r="A739" t="str">
            <v>0301</v>
          </cell>
        </row>
        <row r="740">
          <cell r="A740" t="str">
            <v>0302</v>
          </cell>
        </row>
        <row r="741">
          <cell r="A741" t="str">
            <v>0303</v>
          </cell>
        </row>
        <row r="742">
          <cell r="A742" t="str">
            <v>0304</v>
          </cell>
        </row>
        <row r="743">
          <cell r="A743" t="str">
            <v>0305</v>
          </cell>
        </row>
        <row r="744">
          <cell r="A744" t="str">
            <v>0306</v>
          </cell>
        </row>
        <row r="745">
          <cell r="A745" t="str">
            <v>0307</v>
          </cell>
        </row>
        <row r="746">
          <cell r="A746" t="str">
            <v>0308</v>
          </cell>
        </row>
        <row r="747">
          <cell r="A747" t="str">
            <v>0309</v>
          </cell>
        </row>
        <row r="748">
          <cell r="A748" t="str">
            <v>0310</v>
          </cell>
        </row>
        <row r="749">
          <cell r="A749" t="str">
            <v>0311</v>
          </cell>
        </row>
        <row r="750">
          <cell r="A750" t="str">
            <v>0312</v>
          </cell>
        </row>
        <row r="751">
          <cell r="A751" t="str">
            <v>0313</v>
          </cell>
        </row>
        <row r="752">
          <cell r="A752" t="str">
            <v>0314</v>
          </cell>
        </row>
        <row r="753">
          <cell r="A753" t="str">
            <v>0315</v>
          </cell>
        </row>
        <row r="754">
          <cell r="A754" t="str">
            <v>0316</v>
          </cell>
        </row>
        <row r="755">
          <cell r="A755" t="str">
            <v>0317</v>
          </cell>
        </row>
        <row r="756">
          <cell r="A756" t="str">
            <v>0318</v>
          </cell>
        </row>
        <row r="757">
          <cell r="A757" t="str">
            <v>0319</v>
          </cell>
        </row>
        <row r="758">
          <cell r="A758" t="str">
            <v>0320</v>
          </cell>
        </row>
        <row r="759">
          <cell r="A759" t="str">
            <v>0321</v>
          </cell>
        </row>
        <row r="760">
          <cell r="A760" t="str">
            <v>0322</v>
          </cell>
        </row>
        <row r="761">
          <cell r="A761" t="str">
            <v>0323</v>
          </cell>
        </row>
        <row r="762">
          <cell r="A762" t="str">
            <v>0324</v>
          </cell>
        </row>
        <row r="763">
          <cell r="A763" t="str">
            <v>0325</v>
          </cell>
        </row>
        <row r="764">
          <cell r="A764" t="str">
            <v>0326</v>
          </cell>
        </row>
        <row r="765">
          <cell r="A765" t="str">
            <v>0327</v>
          </cell>
        </row>
        <row r="766">
          <cell r="A766" t="str">
            <v>0328</v>
          </cell>
        </row>
        <row r="767">
          <cell r="A767" t="str">
            <v>0329</v>
          </cell>
        </row>
        <row r="768">
          <cell r="A768" t="str">
            <v>032A</v>
          </cell>
        </row>
        <row r="769">
          <cell r="A769" t="str">
            <v>032B</v>
          </cell>
        </row>
        <row r="770">
          <cell r="A770" t="str">
            <v>032C</v>
          </cell>
        </row>
        <row r="771">
          <cell r="A771" t="str">
            <v>032D</v>
          </cell>
        </row>
        <row r="772">
          <cell r="A772" t="str">
            <v>032E</v>
          </cell>
        </row>
        <row r="773">
          <cell r="A773" t="str">
            <v>0330</v>
          </cell>
        </row>
        <row r="774">
          <cell r="A774" t="str">
            <v>0331</v>
          </cell>
        </row>
        <row r="775">
          <cell r="A775" t="str">
            <v>0332</v>
          </cell>
        </row>
        <row r="776">
          <cell r="A776" t="str">
            <v>0333</v>
          </cell>
        </row>
        <row r="777">
          <cell r="A777" t="str">
            <v>0334</v>
          </cell>
        </row>
        <row r="778">
          <cell r="A778" t="str">
            <v>0335</v>
          </cell>
        </row>
        <row r="779">
          <cell r="A779" t="str">
            <v>0336</v>
          </cell>
        </row>
        <row r="780">
          <cell r="A780" t="str">
            <v>0337</v>
          </cell>
        </row>
        <row r="781">
          <cell r="A781" t="str">
            <v>0338</v>
          </cell>
        </row>
        <row r="782">
          <cell r="A782" t="str">
            <v>0339</v>
          </cell>
        </row>
        <row r="783">
          <cell r="A783" t="str">
            <v>033A</v>
          </cell>
        </row>
        <row r="784">
          <cell r="A784" t="str">
            <v>033B</v>
          </cell>
        </row>
        <row r="785">
          <cell r="A785" t="str">
            <v>033C</v>
          </cell>
        </row>
        <row r="786">
          <cell r="A786" t="str">
            <v>033D</v>
          </cell>
        </row>
        <row r="787">
          <cell r="A787" t="str">
            <v>033E</v>
          </cell>
        </row>
        <row r="788">
          <cell r="A788" t="str">
            <v>0340</v>
          </cell>
        </row>
        <row r="789">
          <cell r="A789" t="str">
            <v>0341</v>
          </cell>
        </row>
        <row r="790">
          <cell r="A790" t="str">
            <v>0342</v>
          </cell>
        </row>
        <row r="791">
          <cell r="A791" t="str">
            <v>0343</v>
          </cell>
        </row>
        <row r="792">
          <cell r="A792" t="str">
            <v>0344</v>
          </cell>
        </row>
        <row r="793">
          <cell r="A793" t="str">
            <v>0345</v>
          </cell>
        </row>
        <row r="794">
          <cell r="A794" t="str">
            <v>0346</v>
          </cell>
        </row>
        <row r="795">
          <cell r="A795" t="str">
            <v>0347</v>
          </cell>
        </row>
        <row r="796">
          <cell r="A796" t="str">
            <v>0348</v>
          </cell>
        </row>
        <row r="797">
          <cell r="A797" t="str">
            <v>0349</v>
          </cell>
        </row>
        <row r="798">
          <cell r="A798" t="str">
            <v>034A</v>
          </cell>
        </row>
        <row r="799">
          <cell r="A799" t="str">
            <v>034B</v>
          </cell>
        </row>
        <row r="800">
          <cell r="A800" t="str">
            <v>0350</v>
          </cell>
        </row>
        <row r="801">
          <cell r="A801" t="str">
            <v>0351</v>
          </cell>
        </row>
        <row r="802">
          <cell r="A802" t="str">
            <v>0352</v>
          </cell>
        </row>
        <row r="803">
          <cell r="A803" t="str">
            <v>0353</v>
          </cell>
        </row>
        <row r="804">
          <cell r="A804" t="str">
            <v>0354</v>
          </cell>
        </row>
        <row r="805">
          <cell r="A805" t="str">
            <v>0355</v>
          </cell>
        </row>
        <row r="806">
          <cell r="A806" t="str">
            <v>0356</v>
          </cell>
        </row>
        <row r="807">
          <cell r="A807" t="str">
            <v>0357</v>
          </cell>
        </row>
        <row r="808">
          <cell r="A808" t="str">
            <v>0358</v>
          </cell>
        </row>
        <row r="809">
          <cell r="A809" t="str">
            <v>0359</v>
          </cell>
        </row>
        <row r="810">
          <cell r="A810" t="str">
            <v>0360</v>
          </cell>
        </row>
        <row r="811">
          <cell r="A811" t="str">
            <v>0361</v>
          </cell>
        </row>
        <row r="812">
          <cell r="A812" t="str">
            <v>0362</v>
          </cell>
        </row>
        <row r="813">
          <cell r="A813" t="str">
            <v>0363</v>
          </cell>
        </row>
        <row r="814">
          <cell r="A814" t="str">
            <v>0365</v>
          </cell>
        </row>
        <row r="815">
          <cell r="A815" t="str">
            <v>0366</v>
          </cell>
        </row>
        <row r="816">
          <cell r="A816" t="str">
            <v>0367</v>
          </cell>
        </row>
        <row r="817">
          <cell r="A817" t="str">
            <v>0368</v>
          </cell>
        </row>
        <row r="818">
          <cell r="A818" t="str">
            <v>0369</v>
          </cell>
        </row>
        <row r="819">
          <cell r="A819" t="str">
            <v>0370</v>
          </cell>
        </row>
        <row r="820">
          <cell r="A820" t="str">
            <v>0371</v>
          </cell>
        </row>
        <row r="821">
          <cell r="A821" t="str">
            <v>0372</v>
          </cell>
        </row>
        <row r="822">
          <cell r="A822" t="str">
            <v>0373</v>
          </cell>
        </row>
        <row r="823">
          <cell r="A823" t="str">
            <v>0374</v>
          </cell>
        </row>
        <row r="824">
          <cell r="A824" t="str">
            <v>0375</v>
          </cell>
        </row>
        <row r="825">
          <cell r="A825" t="str">
            <v>0376</v>
          </cell>
        </row>
        <row r="826">
          <cell r="A826" t="str">
            <v>0377</v>
          </cell>
        </row>
        <row r="827">
          <cell r="A827" t="str">
            <v>0378</v>
          </cell>
        </row>
        <row r="828">
          <cell r="A828" t="str">
            <v>0379</v>
          </cell>
        </row>
        <row r="829">
          <cell r="A829" t="str">
            <v>037A</v>
          </cell>
        </row>
        <row r="830">
          <cell r="A830" t="str">
            <v>037B</v>
          </cell>
        </row>
        <row r="831">
          <cell r="A831" t="str">
            <v>037D</v>
          </cell>
        </row>
        <row r="832">
          <cell r="A832" t="str">
            <v>037E</v>
          </cell>
        </row>
        <row r="833">
          <cell r="A833" t="str">
            <v>037F</v>
          </cell>
        </row>
        <row r="834">
          <cell r="A834" t="str">
            <v>0380</v>
          </cell>
        </row>
        <row r="835">
          <cell r="A835" t="str">
            <v>0381</v>
          </cell>
        </row>
        <row r="836">
          <cell r="A836" t="str">
            <v>0382</v>
          </cell>
        </row>
        <row r="837">
          <cell r="A837" t="str">
            <v>0383</v>
          </cell>
        </row>
        <row r="838">
          <cell r="A838" t="str">
            <v>0384</v>
          </cell>
        </row>
        <row r="839">
          <cell r="A839" t="str">
            <v>0385</v>
          </cell>
        </row>
        <row r="840">
          <cell r="A840" t="str">
            <v>0386</v>
          </cell>
        </row>
        <row r="841">
          <cell r="A841" t="str">
            <v>0387</v>
          </cell>
        </row>
        <row r="842">
          <cell r="A842" t="str">
            <v>0388</v>
          </cell>
        </row>
        <row r="843">
          <cell r="A843" t="str">
            <v>0389</v>
          </cell>
        </row>
        <row r="844">
          <cell r="A844" t="str">
            <v>0390</v>
          </cell>
        </row>
        <row r="845">
          <cell r="A845" t="str">
            <v>0391</v>
          </cell>
        </row>
        <row r="846">
          <cell r="A846" t="str">
            <v>0392</v>
          </cell>
        </row>
        <row r="847">
          <cell r="A847" t="str">
            <v>0393</v>
          </cell>
        </row>
        <row r="848">
          <cell r="A848" t="str">
            <v>0394</v>
          </cell>
        </row>
        <row r="849">
          <cell r="A849" t="str">
            <v>0395</v>
          </cell>
        </row>
        <row r="850">
          <cell r="A850" t="str">
            <v>0396</v>
          </cell>
        </row>
        <row r="851">
          <cell r="A851" t="str">
            <v>0397</v>
          </cell>
        </row>
        <row r="852">
          <cell r="A852" t="str">
            <v>0398</v>
          </cell>
        </row>
        <row r="853">
          <cell r="A853" t="str">
            <v>0399</v>
          </cell>
        </row>
        <row r="854">
          <cell r="A854" t="str">
            <v>039A</v>
          </cell>
        </row>
        <row r="855">
          <cell r="A855" t="str">
            <v>039B</v>
          </cell>
        </row>
        <row r="856">
          <cell r="A856" t="str">
            <v>039C</v>
          </cell>
        </row>
        <row r="857">
          <cell r="A857" t="str">
            <v>039D</v>
          </cell>
        </row>
        <row r="858">
          <cell r="A858" t="str">
            <v>039E</v>
          </cell>
        </row>
        <row r="859">
          <cell r="A859" t="str">
            <v>039F</v>
          </cell>
        </row>
        <row r="860">
          <cell r="A860" t="str">
            <v>03A0</v>
          </cell>
        </row>
        <row r="861">
          <cell r="A861" t="str">
            <v>03A1</v>
          </cell>
        </row>
        <row r="862">
          <cell r="A862" t="str">
            <v>03A2</v>
          </cell>
        </row>
        <row r="863">
          <cell r="A863" t="str">
            <v>03A3</v>
          </cell>
        </row>
        <row r="864">
          <cell r="A864" t="str">
            <v>03A4</v>
          </cell>
        </row>
        <row r="865">
          <cell r="A865" t="str">
            <v>03A5</v>
          </cell>
        </row>
        <row r="866">
          <cell r="A866" t="str">
            <v>03A6</v>
          </cell>
        </row>
        <row r="867">
          <cell r="A867" t="str">
            <v>03A7</v>
          </cell>
        </row>
        <row r="868">
          <cell r="A868" t="str">
            <v>03A8</v>
          </cell>
        </row>
        <row r="869">
          <cell r="A869" t="str">
            <v>03A9</v>
          </cell>
        </row>
        <row r="870">
          <cell r="A870" t="str">
            <v>03AA</v>
          </cell>
        </row>
        <row r="871">
          <cell r="A871" t="str">
            <v>03AB</v>
          </cell>
        </row>
        <row r="872">
          <cell r="A872" t="str">
            <v>03AC</v>
          </cell>
        </row>
        <row r="873">
          <cell r="A873" t="str">
            <v>03AD</v>
          </cell>
        </row>
        <row r="874">
          <cell r="A874" t="str">
            <v>03AE</v>
          </cell>
        </row>
        <row r="875">
          <cell r="A875" t="str">
            <v>03AF</v>
          </cell>
        </row>
        <row r="876">
          <cell r="A876" t="str">
            <v>03B0</v>
          </cell>
        </row>
        <row r="877">
          <cell r="A877" t="str">
            <v>03B1</v>
          </cell>
        </row>
        <row r="878">
          <cell r="A878" t="str">
            <v>03B2</v>
          </cell>
        </row>
        <row r="879">
          <cell r="A879" t="str">
            <v>03B3</v>
          </cell>
        </row>
        <row r="880">
          <cell r="A880" t="str">
            <v>03B4</v>
          </cell>
        </row>
        <row r="881">
          <cell r="A881" t="str">
            <v>03B5</v>
          </cell>
        </row>
        <row r="882">
          <cell r="A882" t="str">
            <v>03B6</v>
          </cell>
        </row>
        <row r="883">
          <cell r="A883" t="str">
            <v>03B7</v>
          </cell>
        </row>
        <row r="884">
          <cell r="A884" t="str">
            <v>03B8</v>
          </cell>
        </row>
        <row r="885">
          <cell r="A885" t="str">
            <v>03B9</v>
          </cell>
        </row>
        <row r="886">
          <cell r="A886" t="str">
            <v>03BA</v>
          </cell>
        </row>
        <row r="887">
          <cell r="A887" t="str">
            <v>03BB</v>
          </cell>
        </row>
        <row r="888">
          <cell r="A888" t="str">
            <v>03BC</v>
          </cell>
        </row>
        <row r="889">
          <cell r="A889" t="str">
            <v>03BD</v>
          </cell>
        </row>
        <row r="890">
          <cell r="A890" t="str">
            <v>03BE</v>
          </cell>
        </row>
        <row r="891">
          <cell r="A891" t="str">
            <v>03BF</v>
          </cell>
        </row>
        <row r="892">
          <cell r="A892" t="str">
            <v>03C0</v>
          </cell>
        </row>
        <row r="893">
          <cell r="A893" t="str">
            <v>03C1</v>
          </cell>
        </row>
        <row r="894">
          <cell r="A894" t="str">
            <v>03C2</v>
          </cell>
        </row>
        <row r="895">
          <cell r="A895" t="str">
            <v>03C3</v>
          </cell>
        </row>
        <row r="896">
          <cell r="A896" t="str">
            <v>03C4</v>
          </cell>
        </row>
        <row r="897">
          <cell r="A897" t="str">
            <v>03C5</v>
          </cell>
        </row>
        <row r="898">
          <cell r="A898" t="str">
            <v>03C6</v>
          </cell>
        </row>
        <row r="899">
          <cell r="A899" t="str">
            <v>03C7</v>
          </cell>
        </row>
        <row r="900">
          <cell r="A900" t="str">
            <v>03C8</v>
          </cell>
        </row>
        <row r="901">
          <cell r="A901" t="str">
            <v>03C9</v>
          </cell>
        </row>
        <row r="902">
          <cell r="A902" t="str">
            <v>03CA</v>
          </cell>
        </row>
        <row r="903">
          <cell r="A903" t="str">
            <v>03CB</v>
          </cell>
        </row>
        <row r="904">
          <cell r="A904" t="str">
            <v>03CC</v>
          </cell>
        </row>
        <row r="905">
          <cell r="A905" t="str">
            <v>03CD</v>
          </cell>
        </row>
        <row r="906">
          <cell r="A906" t="str">
            <v>03CE</v>
          </cell>
        </row>
        <row r="907">
          <cell r="A907" t="str">
            <v>03CF</v>
          </cell>
        </row>
        <row r="908">
          <cell r="A908" t="str">
            <v>03D0</v>
          </cell>
        </row>
        <row r="909">
          <cell r="A909" t="str">
            <v>03D1</v>
          </cell>
        </row>
        <row r="910">
          <cell r="A910" t="str">
            <v>03D2</v>
          </cell>
        </row>
        <row r="911">
          <cell r="A911" t="str">
            <v>03D3</v>
          </cell>
        </row>
        <row r="912">
          <cell r="A912" t="str">
            <v>03D4</v>
          </cell>
        </row>
        <row r="913">
          <cell r="A913" t="str">
            <v>03D5</v>
          </cell>
        </row>
        <row r="914">
          <cell r="A914" t="str">
            <v>03D6</v>
          </cell>
        </row>
        <row r="915">
          <cell r="A915" t="str">
            <v>03D7</v>
          </cell>
        </row>
        <row r="916">
          <cell r="A916" t="str">
            <v>03D8</v>
          </cell>
        </row>
        <row r="917">
          <cell r="A917" t="str">
            <v>03D9</v>
          </cell>
        </row>
        <row r="918">
          <cell r="A918" t="str">
            <v>03DA</v>
          </cell>
        </row>
        <row r="919">
          <cell r="A919" t="str">
            <v>03DB</v>
          </cell>
        </row>
        <row r="920">
          <cell r="A920" t="str">
            <v>03DC</v>
          </cell>
        </row>
        <row r="921">
          <cell r="A921" t="str">
            <v>03DD</v>
          </cell>
        </row>
        <row r="922">
          <cell r="A922" t="str">
            <v>03DE</v>
          </cell>
        </row>
        <row r="923">
          <cell r="A923" t="str">
            <v>03DF</v>
          </cell>
        </row>
        <row r="924">
          <cell r="A924" t="str">
            <v>03E0</v>
          </cell>
        </row>
        <row r="925">
          <cell r="A925" t="str">
            <v>03E1</v>
          </cell>
        </row>
        <row r="926">
          <cell r="A926" t="str">
            <v>03E2</v>
          </cell>
        </row>
        <row r="927">
          <cell r="A927" t="str">
            <v>03E3</v>
          </cell>
        </row>
        <row r="928">
          <cell r="A928" t="str">
            <v>03E4</v>
          </cell>
        </row>
        <row r="929">
          <cell r="A929" t="str">
            <v>0400</v>
          </cell>
        </row>
        <row r="930">
          <cell r="A930" t="str">
            <v>0401</v>
          </cell>
        </row>
        <row r="931">
          <cell r="A931" t="str">
            <v>0402</v>
          </cell>
        </row>
        <row r="932">
          <cell r="A932" t="str">
            <v>0403</v>
          </cell>
        </row>
        <row r="933">
          <cell r="A933" t="str">
            <v>0404</v>
          </cell>
        </row>
        <row r="934">
          <cell r="A934" t="str">
            <v>0405</v>
          </cell>
        </row>
        <row r="935">
          <cell r="A935" t="str">
            <v>0406</v>
          </cell>
        </row>
        <row r="936">
          <cell r="A936" t="str">
            <v>0407</v>
          </cell>
        </row>
        <row r="937">
          <cell r="A937" t="str">
            <v>0408</v>
          </cell>
        </row>
        <row r="938">
          <cell r="A938" t="str">
            <v>0409</v>
          </cell>
        </row>
        <row r="939">
          <cell r="A939" t="str">
            <v>040A</v>
          </cell>
        </row>
        <row r="940">
          <cell r="A940" t="str">
            <v>040B</v>
          </cell>
        </row>
        <row r="941">
          <cell r="A941" t="str">
            <v>040C</v>
          </cell>
        </row>
        <row r="942">
          <cell r="A942" t="str">
            <v>040D</v>
          </cell>
        </row>
        <row r="943">
          <cell r="A943" t="str">
            <v>040E</v>
          </cell>
        </row>
        <row r="944">
          <cell r="A944" t="str">
            <v>040F</v>
          </cell>
        </row>
        <row r="945">
          <cell r="A945" t="str">
            <v>0410</v>
          </cell>
        </row>
        <row r="946">
          <cell r="A946" t="str">
            <v>0411</v>
          </cell>
        </row>
        <row r="947">
          <cell r="A947" t="str">
            <v>0412</v>
          </cell>
        </row>
        <row r="948">
          <cell r="A948" t="str">
            <v>0413</v>
          </cell>
        </row>
        <row r="949">
          <cell r="A949" t="str">
            <v>0414</v>
          </cell>
        </row>
        <row r="950">
          <cell r="A950" t="str">
            <v>0415</v>
          </cell>
        </row>
        <row r="951">
          <cell r="A951" t="str">
            <v>0416</v>
          </cell>
        </row>
        <row r="952">
          <cell r="A952" t="str">
            <v>0417</v>
          </cell>
        </row>
        <row r="953">
          <cell r="A953" t="str">
            <v>0418</v>
          </cell>
        </row>
        <row r="954">
          <cell r="A954" t="str">
            <v>0419</v>
          </cell>
        </row>
        <row r="955">
          <cell r="A955" t="str">
            <v>041A</v>
          </cell>
        </row>
        <row r="956">
          <cell r="A956" t="str">
            <v>041B</v>
          </cell>
        </row>
        <row r="957">
          <cell r="A957" t="str">
            <v>041C</v>
          </cell>
        </row>
        <row r="958">
          <cell r="A958" t="str">
            <v>041D</v>
          </cell>
        </row>
        <row r="959">
          <cell r="A959" t="str">
            <v>041E</v>
          </cell>
        </row>
        <row r="960">
          <cell r="A960" t="str">
            <v>041F</v>
          </cell>
        </row>
        <row r="961">
          <cell r="A961" t="str">
            <v>0420</v>
          </cell>
        </row>
        <row r="962">
          <cell r="A962" t="str">
            <v>0421</v>
          </cell>
        </row>
        <row r="963">
          <cell r="A963" t="str">
            <v>0422</v>
          </cell>
        </row>
        <row r="964">
          <cell r="A964" t="str">
            <v>0423</v>
          </cell>
        </row>
        <row r="965">
          <cell r="A965" t="str">
            <v>0424</v>
          </cell>
        </row>
        <row r="966">
          <cell r="A966" t="str">
            <v>0425</v>
          </cell>
        </row>
        <row r="967">
          <cell r="A967" t="str">
            <v>0426</v>
          </cell>
        </row>
        <row r="968">
          <cell r="A968" t="str">
            <v>0427</v>
          </cell>
        </row>
        <row r="969">
          <cell r="A969" t="str">
            <v>0428</v>
          </cell>
        </row>
        <row r="970">
          <cell r="A970" t="str">
            <v>0429</v>
          </cell>
        </row>
        <row r="971">
          <cell r="A971" t="str">
            <v>042A</v>
          </cell>
        </row>
        <row r="972">
          <cell r="A972" t="str">
            <v>042B</v>
          </cell>
        </row>
        <row r="973">
          <cell r="A973" t="str">
            <v>042C</v>
          </cell>
        </row>
        <row r="974">
          <cell r="A974" t="str">
            <v>042D</v>
          </cell>
        </row>
        <row r="975">
          <cell r="A975" t="str">
            <v>042E</v>
          </cell>
        </row>
        <row r="976">
          <cell r="A976" t="str">
            <v>042F</v>
          </cell>
        </row>
        <row r="977">
          <cell r="A977" t="str">
            <v>0430</v>
          </cell>
        </row>
        <row r="978">
          <cell r="A978" t="str">
            <v>0431</v>
          </cell>
        </row>
        <row r="979">
          <cell r="A979" t="str">
            <v>0432</v>
          </cell>
        </row>
        <row r="980">
          <cell r="A980" t="str">
            <v>0433</v>
          </cell>
        </row>
        <row r="981">
          <cell r="A981" t="str">
            <v>0434</v>
          </cell>
        </row>
        <row r="982">
          <cell r="A982" t="str">
            <v>0435</v>
          </cell>
        </row>
        <row r="983">
          <cell r="A983" t="str">
            <v>0436</v>
          </cell>
        </row>
        <row r="984">
          <cell r="A984" t="str">
            <v>0437</v>
          </cell>
        </row>
        <row r="985">
          <cell r="A985" t="str">
            <v>0438</v>
          </cell>
        </row>
        <row r="986">
          <cell r="A986" t="str">
            <v>0439</v>
          </cell>
        </row>
        <row r="987">
          <cell r="A987" t="str">
            <v>043A</v>
          </cell>
        </row>
        <row r="988">
          <cell r="A988" t="str">
            <v>043B</v>
          </cell>
        </row>
        <row r="989">
          <cell r="A989" t="str">
            <v>043C</v>
          </cell>
        </row>
        <row r="990">
          <cell r="A990" t="str">
            <v>043D</v>
          </cell>
        </row>
        <row r="991">
          <cell r="A991" t="str">
            <v>043E</v>
          </cell>
        </row>
        <row r="992">
          <cell r="A992" t="str">
            <v>043F</v>
          </cell>
        </row>
        <row r="993">
          <cell r="A993" t="str">
            <v>0440</v>
          </cell>
        </row>
        <row r="994">
          <cell r="A994" t="str">
            <v>0441</v>
          </cell>
        </row>
        <row r="995">
          <cell r="A995" t="str">
            <v>0442</v>
          </cell>
        </row>
        <row r="996">
          <cell r="A996" t="str">
            <v>0443</v>
          </cell>
        </row>
        <row r="997">
          <cell r="A997" t="str">
            <v>0444</v>
          </cell>
        </row>
        <row r="998">
          <cell r="A998" t="str">
            <v>0445</v>
          </cell>
        </row>
        <row r="999">
          <cell r="A999" t="str">
            <v>0446</v>
          </cell>
        </row>
        <row r="1000">
          <cell r="A1000" t="str">
            <v>0447</v>
          </cell>
        </row>
        <row r="1001">
          <cell r="A1001" t="str">
            <v>0448</v>
          </cell>
        </row>
        <row r="1002">
          <cell r="A1002" t="str">
            <v>0449</v>
          </cell>
        </row>
        <row r="1003">
          <cell r="A1003" t="str">
            <v>044A</v>
          </cell>
        </row>
        <row r="1004">
          <cell r="A1004" t="str">
            <v>044B</v>
          </cell>
        </row>
        <row r="1005">
          <cell r="A1005" t="str">
            <v>044C</v>
          </cell>
        </row>
        <row r="1006">
          <cell r="A1006" t="str">
            <v>044D</v>
          </cell>
        </row>
        <row r="1007">
          <cell r="A1007" t="str">
            <v>044E</v>
          </cell>
        </row>
        <row r="1008">
          <cell r="A1008" t="str">
            <v>044F</v>
          </cell>
        </row>
        <row r="1009">
          <cell r="A1009" t="str">
            <v>0450</v>
          </cell>
        </row>
        <row r="1010">
          <cell r="A1010" t="str">
            <v>0451</v>
          </cell>
        </row>
        <row r="1011">
          <cell r="A1011" t="str">
            <v>0452</v>
          </cell>
        </row>
        <row r="1012">
          <cell r="A1012" t="str">
            <v>0453</v>
          </cell>
        </row>
        <row r="1013">
          <cell r="A1013" t="str">
            <v>0454</v>
          </cell>
        </row>
        <row r="1014">
          <cell r="A1014" t="str">
            <v>0455</v>
          </cell>
        </row>
        <row r="1015">
          <cell r="A1015" t="str">
            <v>0456</v>
          </cell>
        </row>
        <row r="1016">
          <cell r="A1016" t="str">
            <v>0457</v>
          </cell>
        </row>
        <row r="1017">
          <cell r="A1017" t="str">
            <v>0458</v>
          </cell>
        </row>
        <row r="1018">
          <cell r="A1018" t="str">
            <v>0459</v>
          </cell>
        </row>
        <row r="1019">
          <cell r="A1019" t="str">
            <v>045A</v>
          </cell>
        </row>
        <row r="1020">
          <cell r="A1020" t="str">
            <v>045B</v>
          </cell>
        </row>
        <row r="1021">
          <cell r="A1021" t="str">
            <v>045C</v>
          </cell>
        </row>
        <row r="1022">
          <cell r="A1022" t="str">
            <v>045D</v>
          </cell>
        </row>
        <row r="1023">
          <cell r="A1023" t="str">
            <v>045E</v>
          </cell>
        </row>
        <row r="1024">
          <cell r="A1024" t="str">
            <v>045F</v>
          </cell>
        </row>
        <row r="1025">
          <cell r="A1025" t="str">
            <v>0460</v>
          </cell>
        </row>
        <row r="1026">
          <cell r="A1026" t="str">
            <v>0461</v>
          </cell>
        </row>
        <row r="1027">
          <cell r="A1027" t="str">
            <v>0462</v>
          </cell>
        </row>
        <row r="1028">
          <cell r="A1028" t="str">
            <v>0463</v>
          </cell>
        </row>
        <row r="1029">
          <cell r="A1029" t="str">
            <v>0464</v>
          </cell>
        </row>
        <row r="1030">
          <cell r="A1030" t="str">
            <v>0465</v>
          </cell>
        </row>
        <row r="1031">
          <cell r="A1031" t="str">
            <v>0466</v>
          </cell>
        </row>
        <row r="1032">
          <cell r="A1032" t="str">
            <v>0467</v>
          </cell>
        </row>
        <row r="1033">
          <cell r="A1033" t="str">
            <v>0468</v>
          </cell>
        </row>
        <row r="1034">
          <cell r="A1034" t="str">
            <v>0469</v>
          </cell>
        </row>
        <row r="1035">
          <cell r="A1035" t="str">
            <v>046A</v>
          </cell>
        </row>
        <row r="1036">
          <cell r="A1036" t="str">
            <v>046B</v>
          </cell>
        </row>
        <row r="1037">
          <cell r="A1037" t="str">
            <v>046C</v>
          </cell>
        </row>
        <row r="1038">
          <cell r="A1038" t="str">
            <v>046D</v>
          </cell>
        </row>
        <row r="1039">
          <cell r="A1039" t="str">
            <v>046E</v>
          </cell>
        </row>
        <row r="1040">
          <cell r="A1040" t="str">
            <v>046F</v>
          </cell>
        </row>
        <row r="1041">
          <cell r="A1041" t="str">
            <v>0470</v>
          </cell>
        </row>
        <row r="1042">
          <cell r="A1042" t="str">
            <v>0471</v>
          </cell>
        </row>
        <row r="1043">
          <cell r="A1043" t="str">
            <v>0472</v>
          </cell>
        </row>
        <row r="1044">
          <cell r="A1044" t="str">
            <v>0473</v>
          </cell>
        </row>
        <row r="1045">
          <cell r="A1045" t="str">
            <v>0474</v>
          </cell>
        </row>
        <row r="1046">
          <cell r="A1046" t="str">
            <v>0475</v>
          </cell>
        </row>
        <row r="1047">
          <cell r="A1047" t="str">
            <v>0476</v>
          </cell>
        </row>
        <row r="1048">
          <cell r="A1048" t="str">
            <v>0477</v>
          </cell>
        </row>
        <row r="1049">
          <cell r="A1049" t="str">
            <v>0478</v>
          </cell>
        </row>
        <row r="1050">
          <cell r="A1050" t="str">
            <v>0479</v>
          </cell>
        </row>
        <row r="1051">
          <cell r="A1051" t="str">
            <v>047A</v>
          </cell>
        </row>
        <row r="1052">
          <cell r="A1052" t="str">
            <v>047B</v>
          </cell>
        </row>
        <row r="1053">
          <cell r="A1053" t="str">
            <v>047C</v>
          </cell>
        </row>
        <row r="1054">
          <cell r="A1054" t="str">
            <v>047D</v>
          </cell>
        </row>
        <row r="1055">
          <cell r="A1055" t="str">
            <v>047E</v>
          </cell>
        </row>
        <row r="1056">
          <cell r="A1056" t="str">
            <v>047F</v>
          </cell>
        </row>
        <row r="1057">
          <cell r="A1057" t="str">
            <v>0480</v>
          </cell>
        </row>
        <row r="1058">
          <cell r="A1058" t="str">
            <v>0481</v>
          </cell>
        </row>
        <row r="1059">
          <cell r="A1059" t="str">
            <v>0482</v>
          </cell>
        </row>
        <row r="1060">
          <cell r="A1060" t="str">
            <v>0483</v>
          </cell>
        </row>
        <row r="1061">
          <cell r="A1061" t="str">
            <v>0484</v>
          </cell>
        </row>
        <row r="1062">
          <cell r="A1062" t="str">
            <v>0485</v>
          </cell>
        </row>
        <row r="1063">
          <cell r="A1063" t="str">
            <v>0486</v>
          </cell>
        </row>
        <row r="1064">
          <cell r="A1064" t="str">
            <v>0487</v>
          </cell>
        </row>
        <row r="1065">
          <cell r="A1065" t="str">
            <v>0488</v>
          </cell>
        </row>
        <row r="1066">
          <cell r="A1066" t="str">
            <v>0489</v>
          </cell>
        </row>
        <row r="1067">
          <cell r="A1067" t="str">
            <v>048A</v>
          </cell>
        </row>
        <row r="1068">
          <cell r="A1068" t="str">
            <v>048B</v>
          </cell>
        </row>
        <row r="1069">
          <cell r="A1069" t="str">
            <v>048C</v>
          </cell>
        </row>
        <row r="1070">
          <cell r="A1070" t="str">
            <v>048D</v>
          </cell>
        </row>
        <row r="1071">
          <cell r="A1071" t="str">
            <v>048E</v>
          </cell>
        </row>
        <row r="1072">
          <cell r="A1072" t="str">
            <v>048F</v>
          </cell>
        </row>
        <row r="1073">
          <cell r="A1073" t="str">
            <v>0490</v>
          </cell>
        </row>
        <row r="1074">
          <cell r="A1074" t="str">
            <v>0491</v>
          </cell>
        </row>
        <row r="1075">
          <cell r="A1075" t="str">
            <v>0492</v>
          </cell>
        </row>
        <row r="1076">
          <cell r="A1076" t="str">
            <v>0493</v>
          </cell>
        </row>
        <row r="1077">
          <cell r="A1077" t="str">
            <v>0494</v>
          </cell>
        </row>
        <row r="1078">
          <cell r="A1078" t="str">
            <v>0495</v>
          </cell>
        </row>
        <row r="1079">
          <cell r="A1079" t="str">
            <v>0496</v>
          </cell>
        </row>
        <row r="1080">
          <cell r="A1080" t="str">
            <v>0497</v>
          </cell>
        </row>
        <row r="1081">
          <cell r="A1081" t="str">
            <v>0498</v>
          </cell>
        </row>
        <row r="1082">
          <cell r="A1082" t="str">
            <v>0499</v>
          </cell>
        </row>
        <row r="1083">
          <cell r="A1083" t="str">
            <v>049A</v>
          </cell>
        </row>
        <row r="1084">
          <cell r="A1084" t="str">
            <v>049B</v>
          </cell>
        </row>
        <row r="1085">
          <cell r="A1085" t="str">
            <v>049C</v>
          </cell>
        </row>
        <row r="1086">
          <cell r="A1086" t="str">
            <v>049D</v>
          </cell>
        </row>
        <row r="1087">
          <cell r="A1087" t="str">
            <v>049E</v>
          </cell>
        </row>
        <row r="1088">
          <cell r="A1088" t="str">
            <v>049F</v>
          </cell>
        </row>
        <row r="1089">
          <cell r="A1089" t="str">
            <v>04A0</v>
          </cell>
        </row>
        <row r="1090">
          <cell r="A1090" t="str">
            <v>04A1</v>
          </cell>
        </row>
        <row r="1091">
          <cell r="A1091" t="str">
            <v>04A2</v>
          </cell>
        </row>
        <row r="1092">
          <cell r="A1092" t="str">
            <v>04A3</v>
          </cell>
        </row>
        <row r="1093">
          <cell r="A1093" t="str">
            <v>04A4</v>
          </cell>
        </row>
        <row r="1094">
          <cell r="A1094" t="str">
            <v>04A5</v>
          </cell>
        </row>
        <row r="1095">
          <cell r="A1095" t="str">
            <v>04A6</v>
          </cell>
        </row>
        <row r="1096">
          <cell r="A1096" t="str">
            <v>04A7</v>
          </cell>
        </row>
        <row r="1097">
          <cell r="A1097" t="str">
            <v>04A8</v>
          </cell>
        </row>
        <row r="1098">
          <cell r="A1098" t="str">
            <v>04A9</v>
          </cell>
        </row>
        <row r="1099">
          <cell r="A1099" t="str">
            <v>04AA</v>
          </cell>
        </row>
        <row r="1100">
          <cell r="A1100" t="str">
            <v>04AB</v>
          </cell>
        </row>
        <row r="1101">
          <cell r="A1101" t="str">
            <v>04AC</v>
          </cell>
        </row>
        <row r="1102">
          <cell r="A1102" t="str">
            <v>04AD</v>
          </cell>
        </row>
        <row r="1103">
          <cell r="A1103" t="str">
            <v>04AE</v>
          </cell>
        </row>
        <row r="1104">
          <cell r="A1104" t="str">
            <v>04AF</v>
          </cell>
        </row>
        <row r="1105">
          <cell r="A1105" t="str">
            <v>04B0</v>
          </cell>
        </row>
        <row r="1106">
          <cell r="A1106" t="str">
            <v>04B1</v>
          </cell>
        </row>
        <row r="1107">
          <cell r="A1107" t="str">
            <v>04B2</v>
          </cell>
        </row>
        <row r="1108">
          <cell r="A1108" t="str">
            <v>04B3</v>
          </cell>
        </row>
        <row r="1109">
          <cell r="A1109" t="str">
            <v>04B4</v>
          </cell>
        </row>
        <row r="1110">
          <cell r="A1110" t="str">
            <v>04B5</v>
          </cell>
        </row>
        <row r="1111">
          <cell r="A1111" t="str">
            <v>04B6</v>
          </cell>
        </row>
        <row r="1112">
          <cell r="A1112" t="str">
            <v>04B7</v>
          </cell>
        </row>
        <row r="1113">
          <cell r="A1113" t="str">
            <v>04B8</v>
          </cell>
        </row>
        <row r="1114">
          <cell r="A1114" t="str">
            <v>04B9</v>
          </cell>
        </row>
        <row r="1115">
          <cell r="A1115" t="str">
            <v>04BA</v>
          </cell>
        </row>
        <row r="1116">
          <cell r="A1116" t="str">
            <v>04BB</v>
          </cell>
        </row>
        <row r="1117">
          <cell r="A1117" t="str">
            <v>04BC</v>
          </cell>
        </row>
        <row r="1118">
          <cell r="A1118" t="str">
            <v>04BD</v>
          </cell>
        </row>
        <row r="1119">
          <cell r="A1119" t="str">
            <v>04BE</v>
          </cell>
        </row>
        <row r="1120">
          <cell r="A1120" t="str">
            <v>04BF</v>
          </cell>
        </row>
        <row r="1121">
          <cell r="A1121" t="str">
            <v>04C0</v>
          </cell>
        </row>
        <row r="1122">
          <cell r="A1122" t="str">
            <v>04C1</v>
          </cell>
        </row>
        <row r="1123">
          <cell r="A1123" t="str">
            <v>04C2</v>
          </cell>
        </row>
        <row r="1124">
          <cell r="A1124" t="str">
            <v>04C3</v>
          </cell>
        </row>
        <row r="1125">
          <cell r="A1125" t="str">
            <v>04C4</v>
          </cell>
        </row>
        <row r="1126">
          <cell r="A1126" t="str">
            <v>04C5</v>
          </cell>
        </row>
        <row r="1127">
          <cell r="A1127" t="str">
            <v>04C6</v>
          </cell>
        </row>
        <row r="1128">
          <cell r="A1128" t="str">
            <v>04C7</v>
          </cell>
        </row>
        <row r="1129">
          <cell r="A1129" t="str">
            <v>04C8</v>
          </cell>
        </row>
        <row r="1130">
          <cell r="A1130" t="str">
            <v>04C9</v>
          </cell>
        </row>
        <row r="1131">
          <cell r="A1131" t="str">
            <v>04CA</v>
          </cell>
        </row>
        <row r="1132">
          <cell r="A1132" t="str">
            <v>04CB</v>
          </cell>
        </row>
        <row r="1133">
          <cell r="A1133" t="str">
            <v>04CC</v>
          </cell>
        </row>
        <row r="1134">
          <cell r="A1134" t="str">
            <v>04CD</v>
          </cell>
        </row>
        <row r="1135">
          <cell r="A1135" t="str">
            <v>04CE</v>
          </cell>
        </row>
        <row r="1136">
          <cell r="A1136" t="str">
            <v>04CF</v>
          </cell>
        </row>
        <row r="1137">
          <cell r="A1137" t="str">
            <v>04D0</v>
          </cell>
        </row>
        <row r="1138">
          <cell r="A1138" t="str">
            <v>04D1</v>
          </cell>
        </row>
        <row r="1139">
          <cell r="A1139" t="str">
            <v>04D2</v>
          </cell>
        </row>
        <row r="1140">
          <cell r="A1140" t="str">
            <v>04D3</v>
          </cell>
        </row>
        <row r="1141">
          <cell r="A1141" t="str">
            <v>04D4</v>
          </cell>
        </row>
        <row r="1142">
          <cell r="A1142" t="str">
            <v>04D5</v>
          </cell>
        </row>
        <row r="1143">
          <cell r="A1143" t="str">
            <v>04D6</v>
          </cell>
        </row>
        <row r="1144">
          <cell r="A1144" t="str">
            <v>04D7</v>
          </cell>
        </row>
        <row r="1145">
          <cell r="A1145" t="str">
            <v>04D8</v>
          </cell>
        </row>
        <row r="1146">
          <cell r="A1146" t="str">
            <v>04D9</v>
          </cell>
        </row>
        <row r="1147">
          <cell r="A1147" t="str">
            <v>04DA</v>
          </cell>
        </row>
        <row r="1148">
          <cell r="A1148" t="str">
            <v>04DB</v>
          </cell>
        </row>
        <row r="1149">
          <cell r="A1149" t="str">
            <v>04DC</v>
          </cell>
        </row>
        <row r="1150">
          <cell r="A1150" t="str">
            <v>04DD</v>
          </cell>
        </row>
        <row r="1151">
          <cell r="A1151" t="str">
            <v>04DE</v>
          </cell>
        </row>
        <row r="1152">
          <cell r="A1152" t="str">
            <v>04DF</v>
          </cell>
        </row>
        <row r="1153">
          <cell r="A1153" t="str">
            <v>04E0</v>
          </cell>
        </row>
        <row r="1154">
          <cell r="A1154" t="str">
            <v>04E1</v>
          </cell>
        </row>
        <row r="1155">
          <cell r="A1155" t="str">
            <v>04E2</v>
          </cell>
        </row>
        <row r="1156">
          <cell r="A1156" t="str">
            <v>04E3</v>
          </cell>
        </row>
        <row r="1157">
          <cell r="A1157" t="str">
            <v>04E4</v>
          </cell>
        </row>
        <row r="1158">
          <cell r="A1158" t="str">
            <v>04E5</v>
          </cell>
        </row>
        <row r="1159">
          <cell r="A1159" t="str">
            <v>04E6</v>
          </cell>
        </row>
        <row r="1160">
          <cell r="A1160" t="str">
            <v>04E7</v>
          </cell>
        </row>
        <row r="1161">
          <cell r="A1161" t="str">
            <v>04E8</v>
          </cell>
        </row>
        <row r="1162">
          <cell r="A1162" t="str">
            <v>04E9</v>
          </cell>
        </row>
        <row r="1163">
          <cell r="A1163" t="str">
            <v>04EA</v>
          </cell>
        </row>
        <row r="1164">
          <cell r="A1164" t="str">
            <v>04EB</v>
          </cell>
        </row>
        <row r="1165">
          <cell r="A1165" t="str">
            <v>04EC</v>
          </cell>
        </row>
        <row r="1166">
          <cell r="A1166" t="str">
            <v>04ED</v>
          </cell>
        </row>
        <row r="1167">
          <cell r="A1167" t="str">
            <v>04EE</v>
          </cell>
        </row>
        <row r="1168">
          <cell r="A1168" t="str">
            <v>04EF</v>
          </cell>
        </row>
        <row r="1169">
          <cell r="A1169" t="str">
            <v>04F0</v>
          </cell>
        </row>
        <row r="1170">
          <cell r="A1170" t="str">
            <v>04F1</v>
          </cell>
        </row>
        <row r="1171">
          <cell r="A1171" t="str">
            <v>0500</v>
          </cell>
        </row>
        <row r="1172">
          <cell r="A1172" t="str">
            <v>0501</v>
          </cell>
        </row>
        <row r="1173">
          <cell r="A1173" t="str">
            <v>0502</v>
          </cell>
        </row>
        <row r="1174">
          <cell r="A1174" t="str">
            <v>0503</v>
          </cell>
        </row>
        <row r="1175">
          <cell r="A1175" t="str">
            <v>0504</v>
          </cell>
        </row>
        <row r="1176">
          <cell r="A1176" t="str">
            <v>0505</v>
          </cell>
        </row>
        <row r="1177">
          <cell r="A1177" t="str">
            <v>0506</v>
          </cell>
        </row>
        <row r="1178">
          <cell r="A1178" t="str">
            <v>0507</v>
          </cell>
        </row>
        <row r="1179">
          <cell r="A1179" t="str">
            <v>0508</v>
          </cell>
        </row>
        <row r="1180">
          <cell r="A1180" t="str">
            <v>0509</v>
          </cell>
        </row>
        <row r="1181">
          <cell r="A1181" t="str">
            <v>050A</v>
          </cell>
        </row>
        <row r="1182">
          <cell r="A1182" t="str">
            <v>050B</v>
          </cell>
        </row>
        <row r="1183">
          <cell r="A1183" t="str">
            <v>050C</v>
          </cell>
        </row>
        <row r="1184">
          <cell r="A1184" t="str">
            <v>050D</v>
          </cell>
        </row>
        <row r="1185">
          <cell r="A1185" t="str">
            <v>050E</v>
          </cell>
        </row>
        <row r="1186">
          <cell r="A1186" t="str">
            <v>050F</v>
          </cell>
        </row>
        <row r="1187">
          <cell r="A1187" t="str">
            <v>0510</v>
          </cell>
        </row>
        <row r="1188">
          <cell r="A1188" t="str">
            <v>0511</v>
          </cell>
        </row>
        <row r="1189">
          <cell r="A1189" t="str">
            <v>0512</v>
          </cell>
        </row>
        <row r="1190">
          <cell r="A1190" t="str">
            <v>0513</v>
          </cell>
        </row>
        <row r="1191">
          <cell r="A1191" t="str">
            <v>0514</v>
          </cell>
        </row>
        <row r="1192">
          <cell r="A1192" t="str">
            <v>0515</v>
          </cell>
        </row>
        <row r="1193">
          <cell r="A1193" t="str">
            <v>0516</v>
          </cell>
        </row>
        <row r="1194">
          <cell r="A1194" t="str">
            <v>0517</v>
          </cell>
        </row>
        <row r="1195">
          <cell r="A1195" t="str">
            <v>0518</v>
          </cell>
        </row>
        <row r="1196">
          <cell r="A1196" t="str">
            <v>0519</v>
          </cell>
        </row>
        <row r="1197">
          <cell r="A1197" t="str">
            <v>051A</v>
          </cell>
        </row>
        <row r="1198">
          <cell r="A1198" t="str">
            <v>051B</v>
          </cell>
        </row>
        <row r="1199">
          <cell r="A1199" t="str">
            <v>051C</v>
          </cell>
        </row>
        <row r="1200">
          <cell r="A1200" t="str">
            <v>051D</v>
          </cell>
        </row>
        <row r="1201">
          <cell r="A1201" t="str">
            <v>051F</v>
          </cell>
        </row>
        <row r="1202">
          <cell r="A1202" t="str">
            <v>0520</v>
          </cell>
        </row>
        <row r="1203">
          <cell r="A1203" t="str">
            <v>0521</v>
          </cell>
        </row>
        <row r="1204">
          <cell r="A1204" t="str">
            <v>0522</v>
          </cell>
        </row>
        <row r="1205">
          <cell r="A1205" t="str">
            <v>0523</v>
          </cell>
        </row>
        <row r="1206">
          <cell r="A1206" t="str">
            <v>0524</v>
          </cell>
        </row>
        <row r="1207">
          <cell r="A1207" t="str">
            <v>0525</v>
          </cell>
        </row>
        <row r="1208">
          <cell r="A1208" t="str">
            <v>0526</v>
          </cell>
        </row>
        <row r="1209">
          <cell r="A1209" t="str">
            <v>0527</v>
          </cell>
        </row>
        <row r="1210">
          <cell r="A1210" t="str">
            <v>0528</v>
          </cell>
        </row>
        <row r="1211">
          <cell r="A1211" t="str">
            <v>0529</v>
          </cell>
        </row>
        <row r="1212">
          <cell r="A1212" t="str">
            <v>052A</v>
          </cell>
        </row>
        <row r="1213">
          <cell r="A1213" t="str">
            <v>052B</v>
          </cell>
        </row>
        <row r="1214">
          <cell r="A1214" t="str">
            <v>052C</v>
          </cell>
        </row>
        <row r="1215">
          <cell r="A1215" t="str">
            <v>052D</v>
          </cell>
        </row>
        <row r="1216">
          <cell r="A1216" t="str">
            <v>052E</v>
          </cell>
        </row>
        <row r="1217">
          <cell r="A1217" t="str">
            <v>052F</v>
          </cell>
        </row>
        <row r="1218">
          <cell r="A1218" t="str">
            <v>0530</v>
          </cell>
        </row>
        <row r="1219">
          <cell r="A1219" t="str">
            <v>0531</v>
          </cell>
        </row>
        <row r="1220">
          <cell r="A1220" t="str">
            <v>0532</v>
          </cell>
        </row>
        <row r="1221">
          <cell r="A1221" t="str">
            <v>0533</v>
          </cell>
        </row>
        <row r="1222">
          <cell r="A1222" t="str">
            <v>0534</v>
          </cell>
        </row>
        <row r="1223">
          <cell r="A1223" t="str">
            <v>0535</v>
          </cell>
        </row>
        <row r="1224">
          <cell r="A1224" t="str">
            <v>0536</v>
          </cell>
        </row>
        <row r="1225">
          <cell r="A1225" t="str">
            <v>0537</v>
          </cell>
        </row>
        <row r="1226">
          <cell r="A1226" t="str">
            <v>0538</v>
          </cell>
        </row>
        <row r="1227">
          <cell r="A1227" t="str">
            <v>0539</v>
          </cell>
        </row>
        <row r="1228">
          <cell r="A1228" t="str">
            <v>053A</v>
          </cell>
        </row>
        <row r="1229">
          <cell r="A1229" t="str">
            <v>053B</v>
          </cell>
        </row>
        <row r="1230">
          <cell r="A1230" t="str">
            <v>053C</v>
          </cell>
        </row>
        <row r="1231">
          <cell r="A1231" t="str">
            <v>053D</v>
          </cell>
        </row>
        <row r="1232">
          <cell r="A1232" t="str">
            <v>053E</v>
          </cell>
        </row>
        <row r="1233">
          <cell r="A1233" t="str">
            <v>053F</v>
          </cell>
        </row>
        <row r="1234">
          <cell r="A1234" t="str">
            <v>0540</v>
          </cell>
        </row>
        <row r="1235">
          <cell r="A1235" t="str">
            <v>0541</v>
          </cell>
        </row>
        <row r="1236">
          <cell r="A1236" t="str">
            <v>0542</v>
          </cell>
        </row>
        <row r="1237">
          <cell r="A1237" t="str">
            <v>0543</v>
          </cell>
        </row>
        <row r="1238">
          <cell r="A1238" t="str">
            <v>0544</v>
          </cell>
        </row>
        <row r="1239">
          <cell r="A1239" t="str">
            <v>0545</v>
          </cell>
        </row>
        <row r="1240">
          <cell r="A1240" t="str">
            <v>0546</v>
          </cell>
        </row>
        <row r="1241">
          <cell r="A1241" t="str">
            <v>0547</v>
          </cell>
        </row>
        <row r="1242">
          <cell r="A1242" t="str">
            <v>0548</v>
          </cell>
        </row>
        <row r="1243">
          <cell r="A1243" t="str">
            <v>0549</v>
          </cell>
        </row>
        <row r="1244">
          <cell r="A1244" t="str">
            <v>054A</v>
          </cell>
        </row>
        <row r="1245">
          <cell r="A1245" t="str">
            <v>054B</v>
          </cell>
        </row>
        <row r="1246">
          <cell r="A1246" t="str">
            <v>054C</v>
          </cell>
        </row>
        <row r="1247">
          <cell r="A1247" t="str">
            <v>054D</v>
          </cell>
        </row>
        <row r="1248">
          <cell r="A1248" t="str">
            <v>054E</v>
          </cell>
        </row>
        <row r="1249">
          <cell r="A1249" t="str">
            <v>054F</v>
          </cell>
        </row>
        <row r="1250">
          <cell r="A1250" t="str">
            <v>0550</v>
          </cell>
        </row>
        <row r="1251">
          <cell r="A1251" t="str">
            <v>0551</v>
          </cell>
        </row>
        <row r="1252">
          <cell r="A1252" t="str">
            <v>0552</v>
          </cell>
        </row>
        <row r="1253">
          <cell r="A1253" t="str">
            <v>0553</v>
          </cell>
        </row>
        <row r="1254">
          <cell r="A1254" t="str">
            <v>0554</v>
          </cell>
        </row>
        <row r="1255">
          <cell r="A1255" t="str">
            <v>0555</v>
          </cell>
        </row>
        <row r="1256">
          <cell r="A1256" t="str">
            <v>0556</v>
          </cell>
        </row>
        <row r="1257">
          <cell r="A1257" t="str">
            <v>0557</v>
          </cell>
        </row>
        <row r="1258">
          <cell r="A1258" t="str">
            <v>0558</v>
          </cell>
        </row>
        <row r="1259">
          <cell r="A1259" t="str">
            <v>0559</v>
          </cell>
        </row>
        <row r="1260">
          <cell r="A1260" t="str">
            <v>055A</v>
          </cell>
        </row>
        <row r="1261">
          <cell r="A1261" t="str">
            <v>055B</v>
          </cell>
        </row>
        <row r="1262">
          <cell r="A1262" t="str">
            <v>055C</v>
          </cell>
        </row>
        <row r="1263">
          <cell r="A1263" t="str">
            <v>055D</v>
          </cell>
        </row>
        <row r="1264">
          <cell r="A1264" t="str">
            <v>055E</v>
          </cell>
        </row>
        <row r="1265">
          <cell r="A1265" t="str">
            <v>055F</v>
          </cell>
        </row>
        <row r="1266">
          <cell r="A1266" t="str">
            <v>0560</v>
          </cell>
        </row>
        <row r="1267">
          <cell r="A1267" t="str">
            <v>0561</v>
          </cell>
        </row>
        <row r="1268">
          <cell r="A1268" t="str">
            <v>0562</v>
          </cell>
        </row>
        <row r="1269">
          <cell r="A1269" t="str">
            <v>0563</v>
          </cell>
        </row>
        <row r="1270">
          <cell r="A1270" t="str">
            <v>0564</v>
          </cell>
        </row>
        <row r="1271">
          <cell r="A1271" t="str">
            <v>0565</v>
          </cell>
        </row>
        <row r="1272">
          <cell r="A1272" t="str">
            <v>0566</v>
          </cell>
        </row>
        <row r="1273">
          <cell r="A1273" t="str">
            <v>0567</v>
          </cell>
        </row>
        <row r="1274">
          <cell r="A1274" t="str">
            <v>0568</v>
          </cell>
        </row>
        <row r="1275">
          <cell r="A1275" t="str">
            <v>0569</v>
          </cell>
        </row>
        <row r="1276">
          <cell r="A1276" t="str">
            <v>056A</v>
          </cell>
        </row>
        <row r="1277">
          <cell r="A1277" t="str">
            <v>056B</v>
          </cell>
        </row>
        <row r="1278">
          <cell r="A1278" t="str">
            <v>056C</v>
          </cell>
        </row>
        <row r="1279">
          <cell r="A1279" t="str">
            <v>056D</v>
          </cell>
        </row>
        <row r="1280">
          <cell r="A1280" t="str">
            <v>056E</v>
          </cell>
        </row>
        <row r="1281">
          <cell r="A1281" t="str">
            <v>056F</v>
          </cell>
        </row>
        <row r="1282">
          <cell r="A1282" t="str">
            <v>0570</v>
          </cell>
        </row>
        <row r="1283">
          <cell r="A1283" t="str">
            <v>0571</v>
          </cell>
        </row>
        <row r="1284">
          <cell r="A1284" t="str">
            <v>0572</v>
          </cell>
        </row>
        <row r="1285">
          <cell r="A1285" t="str">
            <v>0573</v>
          </cell>
        </row>
        <row r="1286">
          <cell r="A1286" t="str">
            <v>0574</v>
          </cell>
        </row>
        <row r="1287">
          <cell r="A1287" t="str">
            <v>0575</v>
          </cell>
        </row>
        <row r="1288">
          <cell r="A1288" t="str">
            <v>0576</v>
          </cell>
        </row>
        <row r="1289">
          <cell r="A1289" t="str">
            <v>0577</v>
          </cell>
        </row>
        <row r="1290">
          <cell r="A1290" t="str">
            <v>0578</v>
          </cell>
        </row>
        <row r="1291">
          <cell r="A1291" t="str">
            <v>0579</v>
          </cell>
        </row>
        <row r="1292">
          <cell r="A1292" t="str">
            <v>057A</v>
          </cell>
        </row>
        <row r="1293">
          <cell r="A1293" t="str">
            <v>057B</v>
          </cell>
        </row>
        <row r="1294">
          <cell r="A1294" t="str">
            <v>057C</v>
          </cell>
        </row>
        <row r="1295">
          <cell r="A1295" t="str">
            <v>057D</v>
          </cell>
        </row>
        <row r="1296">
          <cell r="A1296" t="str">
            <v>057E</v>
          </cell>
        </row>
        <row r="1297">
          <cell r="A1297" t="str">
            <v>057F</v>
          </cell>
        </row>
        <row r="1298">
          <cell r="A1298" t="str">
            <v>0580</v>
          </cell>
        </row>
        <row r="1299">
          <cell r="A1299" t="str">
            <v>0581</v>
          </cell>
        </row>
        <row r="1300">
          <cell r="A1300" t="str">
            <v>0582</v>
          </cell>
        </row>
        <row r="1301">
          <cell r="A1301" t="str">
            <v>0583</v>
          </cell>
        </row>
        <row r="1302">
          <cell r="A1302" t="str">
            <v>0584</v>
          </cell>
        </row>
        <row r="1303">
          <cell r="A1303" t="str">
            <v>0585</v>
          </cell>
        </row>
        <row r="1304">
          <cell r="A1304" t="str">
            <v>0586</v>
          </cell>
        </row>
        <row r="1305">
          <cell r="A1305" t="str">
            <v>0587</v>
          </cell>
        </row>
        <row r="1306">
          <cell r="A1306" t="str">
            <v>0588</v>
          </cell>
        </row>
        <row r="1307">
          <cell r="A1307" t="str">
            <v>0589</v>
          </cell>
        </row>
        <row r="1308">
          <cell r="A1308" t="str">
            <v>058A</v>
          </cell>
        </row>
        <row r="1309">
          <cell r="A1309" t="str">
            <v>058B</v>
          </cell>
        </row>
        <row r="1310">
          <cell r="A1310" t="str">
            <v>058C</v>
          </cell>
        </row>
        <row r="1311">
          <cell r="A1311" t="str">
            <v>058D</v>
          </cell>
        </row>
        <row r="1312">
          <cell r="A1312" t="str">
            <v>058E</v>
          </cell>
        </row>
        <row r="1313">
          <cell r="A1313" t="str">
            <v>058F</v>
          </cell>
        </row>
        <row r="1314">
          <cell r="A1314" t="str">
            <v>0590</v>
          </cell>
        </row>
        <row r="1315">
          <cell r="A1315" t="str">
            <v>0591</v>
          </cell>
        </row>
        <row r="1316">
          <cell r="A1316" t="str">
            <v>0592</v>
          </cell>
        </row>
        <row r="1317">
          <cell r="A1317" t="str">
            <v>0593</v>
          </cell>
        </row>
        <row r="1318">
          <cell r="A1318" t="str">
            <v>0594</v>
          </cell>
        </row>
        <row r="1319">
          <cell r="A1319" t="str">
            <v>0595</v>
          </cell>
        </row>
        <row r="1320">
          <cell r="A1320" t="str">
            <v>0596</v>
          </cell>
        </row>
        <row r="1321">
          <cell r="A1321" t="str">
            <v>0597</v>
          </cell>
        </row>
        <row r="1322">
          <cell r="A1322" t="str">
            <v>0598</v>
          </cell>
        </row>
        <row r="1323">
          <cell r="A1323" t="str">
            <v>0599</v>
          </cell>
        </row>
        <row r="1324">
          <cell r="A1324" t="str">
            <v>059A</v>
          </cell>
        </row>
        <row r="1325">
          <cell r="A1325" t="str">
            <v>059B</v>
          </cell>
        </row>
        <row r="1326">
          <cell r="A1326" t="str">
            <v>059C</v>
          </cell>
        </row>
        <row r="1327">
          <cell r="A1327" t="str">
            <v>059D</v>
          </cell>
        </row>
        <row r="1328">
          <cell r="A1328" t="str">
            <v>059E</v>
          </cell>
        </row>
        <row r="1329">
          <cell r="A1329" t="str">
            <v>059F</v>
          </cell>
        </row>
        <row r="1330">
          <cell r="A1330" t="str">
            <v>05A0</v>
          </cell>
        </row>
        <row r="1331">
          <cell r="A1331" t="str">
            <v>05A1</v>
          </cell>
        </row>
        <row r="1332">
          <cell r="A1332" t="str">
            <v>05A2</v>
          </cell>
        </row>
        <row r="1333">
          <cell r="A1333" t="str">
            <v>05A3</v>
          </cell>
        </row>
        <row r="1334">
          <cell r="A1334" t="str">
            <v>05A4</v>
          </cell>
        </row>
        <row r="1335">
          <cell r="A1335" t="str">
            <v>05A5</v>
          </cell>
        </row>
        <row r="1336">
          <cell r="A1336" t="str">
            <v>05A6</v>
          </cell>
        </row>
        <row r="1337">
          <cell r="A1337" t="str">
            <v>05A7</v>
          </cell>
        </row>
        <row r="1338">
          <cell r="A1338" t="str">
            <v>05A8</v>
          </cell>
        </row>
        <row r="1339">
          <cell r="A1339" t="str">
            <v>05A9</v>
          </cell>
        </row>
        <row r="1340">
          <cell r="A1340" t="str">
            <v>05AA</v>
          </cell>
        </row>
        <row r="1341">
          <cell r="A1341" t="str">
            <v>05AB</v>
          </cell>
        </row>
        <row r="1342">
          <cell r="A1342" t="str">
            <v>05AC</v>
          </cell>
        </row>
        <row r="1343">
          <cell r="A1343" t="str">
            <v>05AD</v>
          </cell>
        </row>
        <row r="1344">
          <cell r="A1344" t="str">
            <v>05AE</v>
          </cell>
        </row>
        <row r="1345">
          <cell r="A1345" t="str">
            <v>05AF</v>
          </cell>
        </row>
        <row r="1346">
          <cell r="A1346" t="str">
            <v>05B0</v>
          </cell>
        </row>
        <row r="1347">
          <cell r="A1347" t="str">
            <v>05B1</v>
          </cell>
        </row>
        <row r="1348">
          <cell r="A1348" t="str">
            <v>05B2</v>
          </cell>
        </row>
        <row r="1349">
          <cell r="A1349" t="str">
            <v>05B3</v>
          </cell>
        </row>
        <row r="1350">
          <cell r="A1350" t="str">
            <v>05B4</v>
          </cell>
        </row>
        <row r="1351">
          <cell r="A1351" t="str">
            <v>05B5</v>
          </cell>
        </row>
        <row r="1352">
          <cell r="A1352" t="str">
            <v>05B6</v>
          </cell>
        </row>
        <row r="1353">
          <cell r="A1353" t="str">
            <v>05B7</v>
          </cell>
        </row>
        <row r="1354">
          <cell r="A1354" t="str">
            <v>05B8</v>
          </cell>
        </row>
        <row r="1355">
          <cell r="A1355" t="str">
            <v>05B9</v>
          </cell>
        </row>
        <row r="1356">
          <cell r="A1356" t="str">
            <v>05BA</v>
          </cell>
        </row>
        <row r="1357">
          <cell r="A1357" t="str">
            <v>05BB</v>
          </cell>
        </row>
        <row r="1358">
          <cell r="A1358" t="str">
            <v>05BC</v>
          </cell>
        </row>
        <row r="1359">
          <cell r="A1359" t="str">
            <v>05BD</v>
          </cell>
        </row>
        <row r="1360">
          <cell r="A1360" t="str">
            <v>05BE</v>
          </cell>
        </row>
        <row r="1361">
          <cell r="A1361" t="str">
            <v>05BF</v>
          </cell>
        </row>
        <row r="1362">
          <cell r="A1362" t="str">
            <v>05C0</v>
          </cell>
        </row>
        <row r="1363">
          <cell r="A1363" t="str">
            <v>05C1</v>
          </cell>
        </row>
        <row r="1364">
          <cell r="A1364" t="str">
            <v>05C2</v>
          </cell>
        </row>
        <row r="1365">
          <cell r="A1365" t="str">
            <v>05C3</v>
          </cell>
        </row>
        <row r="1366">
          <cell r="A1366" t="str">
            <v>05C4</v>
          </cell>
        </row>
        <row r="1367">
          <cell r="A1367" t="str">
            <v>05C5</v>
          </cell>
        </row>
        <row r="1368">
          <cell r="A1368" t="str">
            <v>05C6</v>
          </cell>
        </row>
        <row r="1369">
          <cell r="A1369" t="str">
            <v>05C7</v>
          </cell>
        </row>
        <row r="1370">
          <cell r="A1370" t="str">
            <v>05C8</v>
          </cell>
        </row>
        <row r="1371">
          <cell r="A1371" t="str">
            <v>05C9</v>
          </cell>
        </row>
        <row r="1372">
          <cell r="A1372" t="str">
            <v>05CA</v>
          </cell>
        </row>
        <row r="1373">
          <cell r="A1373" t="str">
            <v>05CB</v>
          </cell>
        </row>
        <row r="1374">
          <cell r="A1374" t="str">
            <v>05CC</v>
          </cell>
        </row>
        <row r="1375">
          <cell r="A1375" t="str">
            <v>05CD</v>
          </cell>
        </row>
        <row r="1376">
          <cell r="A1376" t="str">
            <v>05CE</v>
          </cell>
        </row>
        <row r="1377">
          <cell r="A1377" t="str">
            <v>05CF</v>
          </cell>
        </row>
        <row r="1378">
          <cell r="A1378" t="str">
            <v>05D0</v>
          </cell>
        </row>
        <row r="1379">
          <cell r="A1379" t="str">
            <v>05D1</v>
          </cell>
        </row>
        <row r="1380">
          <cell r="A1380" t="str">
            <v>05D2</v>
          </cell>
        </row>
        <row r="1381">
          <cell r="A1381" t="str">
            <v>05D3</v>
          </cell>
        </row>
        <row r="1382">
          <cell r="A1382" t="str">
            <v>05D4</v>
          </cell>
        </row>
        <row r="1383">
          <cell r="A1383" t="str">
            <v>05D5</v>
          </cell>
        </row>
        <row r="1384">
          <cell r="A1384" t="str">
            <v>05D6</v>
          </cell>
        </row>
        <row r="1385">
          <cell r="A1385" t="str">
            <v>05D7</v>
          </cell>
        </row>
        <row r="1386">
          <cell r="A1386" t="str">
            <v>05D8</v>
          </cell>
        </row>
        <row r="1387">
          <cell r="A1387" t="str">
            <v>05D9</v>
          </cell>
        </row>
        <row r="1388">
          <cell r="A1388" t="str">
            <v>05DA</v>
          </cell>
        </row>
        <row r="1389">
          <cell r="A1389" t="str">
            <v>05DB</v>
          </cell>
        </row>
        <row r="1390">
          <cell r="A1390" t="str">
            <v>05DC</v>
          </cell>
        </row>
        <row r="1391">
          <cell r="A1391" t="str">
            <v>05DD</v>
          </cell>
        </row>
        <row r="1392">
          <cell r="A1392" t="str">
            <v>05DE</v>
          </cell>
        </row>
        <row r="1393">
          <cell r="A1393" t="str">
            <v>05DF</v>
          </cell>
        </row>
        <row r="1394">
          <cell r="A1394" t="str">
            <v>05E0</v>
          </cell>
        </row>
        <row r="1395">
          <cell r="A1395" t="str">
            <v>05E1</v>
          </cell>
        </row>
        <row r="1396">
          <cell r="A1396" t="str">
            <v>05E2</v>
          </cell>
        </row>
        <row r="1397">
          <cell r="A1397" t="str">
            <v>05E3</v>
          </cell>
        </row>
        <row r="1398">
          <cell r="A1398" t="str">
            <v>05E4</v>
          </cell>
        </row>
        <row r="1399">
          <cell r="A1399" t="str">
            <v>05E5</v>
          </cell>
        </row>
        <row r="1400">
          <cell r="A1400" t="str">
            <v>05E6</v>
          </cell>
        </row>
        <row r="1401">
          <cell r="A1401" t="str">
            <v>05E7</v>
          </cell>
        </row>
        <row r="1402">
          <cell r="A1402" t="str">
            <v>05E8</v>
          </cell>
        </row>
        <row r="1403">
          <cell r="A1403" t="str">
            <v>05E9</v>
          </cell>
        </row>
        <row r="1404">
          <cell r="A1404" t="str">
            <v>05EA</v>
          </cell>
        </row>
        <row r="1405">
          <cell r="A1405" t="str">
            <v>0600</v>
          </cell>
        </row>
        <row r="1406">
          <cell r="A1406" t="str">
            <v>0601</v>
          </cell>
        </row>
        <row r="1407">
          <cell r="A1407" t="str">
            <v>0602</v>
          </cell>
        </row>
        <row r="1408">
          <cell r="A1408" t="str">
            <v>0603</v>
          </cell>
        </row>
        <row r="1409">
          <cell r="A1409" t="str">
            <v>0604</v>
          </cell>
        </row>
        <row r="1410">
          <cell r="A1410" t="str">
            <v>0605</v>
          </cell>
        </row>
        <row r="1411">
          <cell r="A1411" t="str">
            <v>0606</v>
          </cell>
        </row>
        <row r="1412">
          <cell r="A1412" t="str">
            <v>0607</v>
          </cell>
        </row>
        <row r="1413">
          <cell r="A1413" t="str">
            <v>0608</v>
          </cell>
        </row>
        <row r="1414">
          <cell r="A1414" t="str">
            <v>0609</v>
          </cell>
        </row>
        <row r="1415">
          <cell r="A1415" t="str">
            <v>060A</v>
          </cell>
        </row>
        <row r="1416">
          <cell r="A1416" t="str">
            <v>060B</v>
          </cell>
        </row>
        <row r="1417">
          <cell r="A1417" t="str">
            <v>060C</v>
          </cell>
        </row>
        <row r="1418">
          <cell r="A1418" t="str">
            <v>060D</v>
          </cell>
        </row>
        <row r="1419">
          <cell r="A1419" t="str">
            <v>060E</v>
          </cell>
        </row>
        <row r="1420">
          <cell r="A1420" t="str">
            <v>060F</v>
          </cell>
        </row>
        <row r="1421">
          <cell r="A1421" t="str">
            <v>0610</v>
          </cell>
        </row>
        <row r="1422">
          <cell r="A1422" t="str">
            <v>0611</v>
          </cell>
        </row>
        <row r="1423">
          <cell r="A1423" t="str">
            <v>0612</v>
          </cell>
        </row>
        <row r="1424">
          <cell r="A1424" t="str">
            <v>0613</v>
          </cell>
        </row>
        <row r="1425">
          <cell r="A1425" t="str">
            <v>0614</v>
          </cell>
        </row>
        <row r="1426">
          <cell r="A1426" t="str">
            <v>0615</v>
          </cell>
        </row>
        <row r="1427">
          <cell r="A1427" t="str">
            <v>0616</v>
          </cell>
        </row>
        <row r="1428">
          <cell r="A1428" t="str">
            <v>0617</v>
          </cell>
        </row>
        <row r="1429">
          <cell r="A1429" t="str">
            <v>0618</v>
          </cell>
        </row>
        <row r="1430">
          <cell r="A1430" t="str">
            <v>0619</v>
          </cell>
        </row>
        <row r="1431">
          <cell r="A1431" t="str">
            <v>061A</v>
          </cell>
        </row>
        <row r="1432">
          <cell r="A1432" t="str">
            <v>061B</v>
          </cell>
        </row>
        <row r="1433">
          <cell r="A1433" t="str">
            <v>061C</v>
          </cell>
        </row>
        <row r="1434">
          <cell r="A1434" t="str">
            <v>061D</v>
          </cell>
        </row>
        <row r="1435">
          <cell r="A1435" t="str">
            <v>061E</v>
          </cell>
        </row>
        <row r="1436">
          <cell r="A1436" t="str">
            <v>061F</v>
          </cell>
        </row>
        <row r="1437">
          <cell r="A1437" t="str">
            <v>0620</v>
          </cell>
        </row>
        <row r="1438">
          <cell r="A1438" t="str">
            <v>0621</v>
          </cell>
        </row>
        <row r="1439">
          <cell r="A1439" t="str">
            <v>0622</v>
          </cell>
        </row>
        <row r="1440">
          <cell r="A1440" t="str">
            <v>0623</v>
          </cell>
        </row>
        <row r="1441">
          <cell r="A1441" t="str">
            <v>0624</v>
          </cell>
        </row>
        <row r="1442">
          <cell r="A1442" t="str">
            <v>0625</v>
          </cell>
        </row>
        <row r="1443">
          <cell r="A1443" t="str">
            <v>0626</v>
          </cell>
        </row>
        <row r="1444">
          <cell r="A1444" t="str">
            <v>0627</v>
          </cell>
        </row>
        <row r="1445">
          <cell r="A1445" t="str">
            <v>0628</v>
          </cell>
        </row>
        <row r="1446">
          <cell r="A1446" t="str">
            <v>0629</v>
          </cell>
        </row>
        <row r="1447">
          <cell r="A1447" t="str">
            <v>062A</v>
          </cell>
        </row>
        <row r="1448">
          <cell r="A1448" t="str">
            <v>062B</v>
          </cell>
        </row>
        <row r="1449">
          <cell r="A1449" t="str">
            <v>062C</v>
          </cell>
        </row>
        <row r="1450">
          <cell r="A1450" t="str">
            <v>062D</v>
          </cell>
        </row>
        <row r="1451">
          <cell r="A1451" t="str">
            <v>062E</v>
          </cell>
        </row>
        <row r="1452">
          <cell r="A1452" t="str">
            <v>062F</v>
          </cell>
        </row>
        <row r="1453">
          <cell r="A1453" t="str">
            <v>0630</v>
          </cell>
        </row>
        <row r="1454">
          <cell r="A1454" t="str">
            <v>0631</v>
          </cell>
        </row>
        <row r="1455">
          <cell r="A1455" t="str">
            <v>0632</v>
          </cell>
        </row>
        <row r="1456">
          <cell r="A1456" t="str">
            <v>0633</v>
          </cell>
        </row>
        <row r="1457">
          <cell r="A1457" t="str">
            <v>0634</v>
          </cell>
        </row>
        <row r="1458">
          <cell r="A1458" t="str">
            <v>0635</v>
          </cell>
        </row>
        <row r="1459">
          <cell r="A1459" t="str">
            <v>0636</v>
          </cell>
        </row>
        <row r="1460">
          <cell r="A1460" t="str">
            <v>0637</v>
          </cell>
        </row>
        <row r="1461">
          <cell r="A1461" t="str">
            <v>0638</v>
          </cell>
        </row>
        <row r="1462">
          <cell r="A1462" t="str">
            <v>0639</v>
          </cell>
        </row>
        <row r="1463">
          <cell r="A1463" t="str">
            <v>063A</v>
          </cell>
        </row>
        <row r="1464">
          <cell r="A1464" t="str">
            <v>063B</v>
          </cell>
        </row>
        <row r="1465">
          <cell r="A1465" t="str">
            <v>063C</v>
          </cell>
        </row>
        <row r="1466">
          <cell r="A1466" t="str">
            <v>063D</v>
          </cell>
        </row>
        <row r="1467">
          <cell r="A1467" t="str">
            <v>063E</v>
          </cell>
        </row>
        <row r="1468">
          <cell r="A1468" t="str">
            <v>063F</v>
          </cell>
        </row>
        <row r="1469">
          <cell r="A1469" t="str">
            <v>0640</v>
          </cell>
        </row>
        <row r="1470">
          <cell r="A1470" t="str">
            <v>0641</v>
          </cell>
        </row>
        <row r="1471">
          <cell r="A1471" t="str">
            <v>0642</v>
          </cell>
        </row>
        <row r="1472">
          <cell r="A1472" t="str">
            <v>0643</v>
          </cell>
        </row>
        <row r="1473">
          <cell r="A1473" t="str">
            <v>0644</v>
          </cell>
        </row>
        <row r="1474">
          <cell r="A1474" t="str">
            <v>0645</v>
          </cell>
        </row>
        <row r="1475">
          <cell r="A1475" t="str">
            <v>0646</v>
          </cell>
        </row>
        <row r="1476">
          <cell r="A1476" t="str">
            <v>0647</v>
          </cell>
        </row>
        <row r="1477">
          <cell r="A1477" t="str">
            <v>0648</v>
          </cell>
        </row>
        <row r="1478">
          <cell r="A1478" t="str">
            <v>0649</v>
          </cell>
        </row>
        <row r="1479">
          <cell r="A1479" t="str">
            <v>064A</v>
          </cell>
        </row>
        <row r="1480">
          <cell r="A1480" t="str">
            <v>064B</v>
          </cell>
        </row>
        <row r="1481">
          <cell r="A1481" t="str">
            <v>064C</v>
          </cell>
        </row>
        <row r="1482">
          <cell r="A1482" t="str">
            <v>064D</v>
          </cell>
        </row>
        <row r="1483">
          <cell r="A1483" t="str">
            <v>064E</v>
          </cell>
        </row>
        <row r="1484">
          <cell r="A1484" t="str">
            <v>064F</v>
          </cell>
        </row>
        <row r="1485">
          <cell r="A1485" t="str">
            <v>0650</v>
          </cell>
        </row>
        <row r="1486">
          <cell r="A1486" t="str">
            <v>0651</v>
          </cell>
        </row>
        <row r="1487">
          <cell r="A1487" t="str">
            <v>0652</v>
          </cell>
        </row>
        <row r="1488">
          <cell r="A1488" t="str">
            <v>0653</v>
          </cell>
        </row>
        <row r="1489">
          <cell r="A1489" t="str">
            <v>0654</v>
          </cell>
        </row>
        <row r="1490">
          <cell r="A1490" t="str">
            <v>0655</v>
          </cell>
        </row>
        <row r="1491">
          <cell r="A1491" t="str">
            <v>0656</v>
          </cell>
        </row>
        <row r="1492">
          <cell r="A1492" t="str">
            <v>0657</v>
          </cell>
        </row>
        <row r="1493">
          <cell r="A1493" t="str">
            <v>0658</v>
          </cell>
        </row>
        <row r="1494">
          <cell r="A1494" t="str">
            <v>0659</v>
          </cell>
        </row>
        <row r="1495">
          <cell r="A1495" t="str">
            <v>065A</v>
          </cell>
        </row>
        <row r="1496">
          <cell r="A1496" t="str">
            <v>065B</v>
          </cell>
        </row>
        <row r="1497">
          <cell r="A1497" t="str">
            <v>065C</v>
          </cell>
        </row>
        <row r="1498">
          <cell r="A1498" t="str">
            <v>065D</v>
          </cell>
        </row>
        <row r="1499">
          <cell r="A1499" t="str">
            <v>065E</v>
          </cell>
        </row>
        <row r="1500">
          <cell r="A1500" t="str">
            <v>065F</v>
          </cell>
        </row>
        <row r="1501">
          <cell r="A1501" t="str">
            <v>0660</v>
          </cell>
        </row>
        <row r="1502">
          <cell r="A1502" t="str">
            <v>0661</v>
          </cell>
        </row>
        <row r="1503">
          <cell r="A1503" t="str">
            <v>0662</v>
          </cell>
        </row>
        <row r="1504">
          <cell r="A1504" t="str">
            <v>0663</v>
          </cell>
        </row>
        <row r="1505">
          <cell r="A1505" t="str">
            <v>0664</v>
          </cell>
        </row>
        <row r="1506">
          <cell r="A1506" t="str">
            <v>0665</v>
          </cell>
        </row>
        <row r="1507">
          <cell r="A1507" t="str">
            <v>0666</v>
          </cell>
        </row>
        <row r="1508">
          <cell r="A1508" t="str">
            <v>0667</v>
          </cell>
        </row>
        <row r="1509">
          <cell r="A1509" t="str">
            <v>0668</v>
          </cell>
        </row>
        <row r="1510">
          <cell r="A1510" t="str">
            <v>0669</v>
          </cell>
        </row>
        <row r="1511">
          <cell r="A1511" t="str">
            <v>066A</v>
          </cell>
        </row>
        <row r="1512">
          <cell r="A1512" t="str">
            <v>066B</v>
          </cell>
        </row>
        <row r="1513">
          <cell r="A1513" t="str">
            <v>066C</v>
          </cell>
        </row>
        <row r="1514">
          <cell r="A1514" t="str">
            <v>066D</v>
          </cell>
        </row>
        <row r="1515">
          <cell r="A1515" t="str">
            <v>066E</v>
          </cell>
        </row>
        <row r="1516">
          <cell r="A1516" t="str">
            <v>066F</v>
          </cell>
        </row>
        <row r="1517">
          <cell r="A1517" t="str">
            <v>0670</v>
          </cell>
        </row>
        <row r="1518">
          <cell r="A1518" t="str">
            <v>0671</v>
          </cell>
        </row>
        <row r="1519">
          <cell r="A1519" t="str">
            <v>0672</v>
          </cell>
        </row>
        <row r="1520">
          <cell r="A1520" t="str">
            <v>0673</v>
          </cell>
        </row>
        <row r="1521">
          <cell r="A1521" t="str">
            <v>0674</v>
          </cell>
        </row>
        <row r="1522">
          <cell r="A1522" t="str">
            <v>0675</v>
          </cell>
        </row>
        <row r="1523">
          <cell r="A1523" t="str">
            <v>0676</v>
          </cell>
        </row>
        <row r="1524">
          <cell r="A1524" t="str">
            <v>0677</v>
          </cell>
        </row>
        <row r="1525">
          <cell r="A1525" t="str">
            <v>0678</v>
          </cell>
        </row>
        <row r="1526">
          <cell r="A1526" t="str">
            <v>0679</v>
          </cell>
        </row>
        <row r="1527">
          <cell r="A1527" t="str">
            <v>067A</v>
          </cell>
        </row>
        <row r="1528">
          <cell r="A1528" t="str">
            <v>067B</v>
          </cell>
        </row>
        <row r="1529">
          <cell r="A1529" t="str">
            <v>067C</v>
          </cell>
        </row>
        <row r="1530">
          <cell r="A1530" t="str">
            <v>067D</v>
          </cell>
        </row>
        <row r="1531">
          <cell r="A1531" t="str">
            <v>067E</v>
          </cell>
        </row>
        <row r="1532">
          <cell r="A1532" t="str">
            <v>067F</v>
          </cell>
        </row>
        <row r="1533">
          <cell r="A1533" t="str">
            <v>0680</v>
          </cell>
        </row>
        <row r="1534">
          <cell r="A1534" t="str">
            <v>0681</v>
          </cell>
        </row>
        <row r="1535">
          <cell r="A1535" t="str">
            <v>0682</v>
          </cell>
        </row>
        <row r="1536">
          <cell r="A1536" t="str">
            <v>0683</v>
          </cell>
        </row>
        <row r="1537">
          <cell r="A1537" t="str">
            <v>0684</v>
          </cell>
        </row>
        <row r="1538">
          <cell r="A1538" t="str">
            <v>0685</v>
          </cell>
        </row>
        <row r="1539">
          <cell r="A1539" t="str">
            <v>0686</v>
          </cell>
        </row>
        <row r="1540">
          <cell r="A1540" t="str">
            <v>0687</v>
          </cell>
        </row>
        <row r="1541">
          <cell r="A1541" t="str">
            <v>0688</v>
          </cell>
        </row>
        <row r="1542">
          <cell r="A1542" t="str">
            <v>0689</v>
          </cell>
        </row>
        <row r="1543">
          <cell r="A1543" t="str">
            <v>068A</v>
          </cell>
        </row>
        <row r="1544">
          <cell r="A1544" t="str">
            <v>068B</v>
          </cell>
        </row>
        <row r="1545">
          <cell r="A1545" t="str">
            <v>068C</v>
          </cell>
        </row>
        <row r="1546">
          <cell r="A1546" t="str">
            <v>068D</v>
          </cell>
        </row>
        <row r="1547">
          <cell r="A1547" t="str">
            <v>068E</v>
          </cell>
        </row>
        <row r="1548">
          <cell r="A1548" t="str">
            <v>068F</v>
          </cell>
        </row>
        <row r="1549">
          <cell r="A1549" t="str">
            <v>0690</v>
          </cell>
        </row>
        <row r="1550">
          <cell r="A1550" t="str">
            <v>0691</v>
          </cell>
        </row>
        <row r="1551">
          <cell r="A1551" t="str">
            <v>0692</v>
          </cell>
        </row>
        <row r="1552">
          <cell r="A1552" t="str">
            <v>0693</v>
          </cell>
        </row>
        <row r="1553">
          <cell r="A1553" t="str">
            <v>0694</v>
          </cell>
        </row>
        <row r="1554">
          <cell r="A1554" t="str">
            <v>0695</v>
          </cell>
        </row>
        <row r="1555">
          <cell r="A1555" t="str">
            <v>0696</v>
          </cell>
        </row>
        <row r="1556">
          <cell r="A1556" t="str">
            <v>0697</v>
          </cell>
        </row>
        <row r="1557">
          <cell r="A1557" t="str">
            <v>0698</v>
          </cell>
        </row>
        <row r="1558">
          <cell r="A1558" t="str">
            <v>0699</v>
          </cell>
        </row>
        <row r="1559">
          <cell r="A1559" t="str">
            <v>069A</v>
          </cell>
        </row>
        <row r="1560">
          <cell r="A1560" t="str">
            <v>069B</v>
          </cell>
        </row>
        <row r="1561">
          <cell r="A1561" t="str">
            <v>069C</v>
          </cell>
        </row>
        <row r="1562">
          <cell r="A1562" t="str">
            <v>069D</v>
          </cell>
        </row>
        <row r="1563">
          <cell r="A1563" t="str">
            <v>069E</v>
          </cell>
        </row>
        <row r="1564">
          <cell r="A1564" t="str">
            <v>069F</v>
          </cell>
        </row>
        <row r="1565">
          <cell r="A1565" t="str">
            <v>06A0</v>
          </cell>
        </row>
        <row r="1566">
          <cell r="A1566" t="str">
            <v>06A1</v>
          </cell>
        </row>
        <row r="1567">
          <cell r="A1567" t="str">
            <v>06A2</v>
          </cell>
        </row>
        <row r="1568">
          <cell r="A1568" t="str">
            <v>06A3</v>
          </cell>
        </row>
        <row r="1569">
          <cell r="A1569" t="str">
            <v>06A4</v>
          </cell>
        </row>
        <row r="1570">
          <cell r="A1570" t="str">
            <v>06A5</v>
          </cell>
        </row>
        <row r="1571">
          <cell r="A1571" t="str">
            <v>06A6</v>
          </cell>
        </row>
        <row r="1572">
          <cell r="A1572" t="str">
            <v>06A7</v>
          </cell>
        </row>
        <row r="1573">
          <cell r="A1573" t="str">
            <v>06A8</v>
          </cell>
        </row>
        <row r="1574">
          <cell r="A1574" t="str">
            <v>06A9</v>
          </cell>
        </row>
        <row r="1575">
          <cell r="A1575" t="str">
            <v>06AA</v>
          </cell>
        </row>
        <row r="1576">
          <cell r="A1576" t="str">
            <v>06AB</v>
          </cell>
        </row>
        <row r="1577">
          <cell r="A1577" t="str">
            <v>06AC</v>
          </cell>
        </row>
        <row r="1578">
          <cell r="A1578" t="str">
            <v>06AD</v>
          </cell>
        </row>
        <row r="1579">
          <cell r="A1579" t="str">
            <v>06AE</v>
          </cell>
        </row>
        <row r="1580">
          <cell r="A1580" t="str">
            <v>06AF</v>
          </cell>
        </row>
        <row r="1581">
          <cell r="A1581" t="str">
            <v>06B0</v>
          </cell>
        </row>
        <row r="1582">
          <cell r="A1582" t="str">
            <v>06B1</v>
          </cell>
        </row>
        <row r="1583">
          <cell r="A1583" t="str">
            <v>06B2</v>
          </cell>
        </row>
        <row r="1584">
          <cell r="A1584" t="str">
            <v>06B3</v>
          </cell>
        </row>
        <row r="1585">
          <cell r="A1585" t="str">
            <v>06B4</v>
          </cell>
        </row>
        <row r="1586">
          <cell r="A1586" t="str">
            <v>06B5</v>
          </cell>
        </row>
        <row r="1587">
          <cell r="A1587" t="str">
            <v>06B6</v>
          </cell>
        </row>
        <row r="1588">
          <cell r="A1588" t="str">
            <v>06B7</v>
          </cell>
        </row>
        <row r="1589">
          <cell r="A1589" t="str">
            <v>06B8</v>
          </cell>
        </row>
        <row r="1590">
          <cell r="A1590" t="str">
            <v>06B9</v>
          </cell>
        </row>
        <row r="1591">
          <cell r="A1591" t="str">
            <v>06BA</v>
          </cell>
        </row>
        <row r="1592">
          <cell r="A1592" t="str">
            <v>06BB</v>
          </cell>
        </row>
        <row r="1593">
          <cell r="A1593" t="str">
            <v>06BC</v>
          </cell>
        </row>
        <row r="1594">
          <cell r="A1594" t="str">
            <v>06BD</v>
          </cell>
        </row>
        <row r="1595">
          <cell r="A1595" t="str">
            <v>06BE</v>
          </cell>
        </row>
        <row r="1596">
          <cell r="A1596" t="str">
            <v>06BF</v>
          </cell>
        </row>
        <row r="1597">
          <cell r="A1597" t="str">
            <v>06C0</v>
          </cell>
        </row>
        <row r="1598">
          <cell r="A1598" t="str">
            <v>06C1</v>
          </cell>
        </row>
        <row r="1599">
          <cell r="A1599" t="str">
            <v>06C2</v>
          </cell>
        </row>
        <row r="1600">
          <cell r="A1600" t="str">
            <v>06C3</v>
          </cell>
        </row>
        <row r="1601">
          <cell r="A1601" t="str">
            <v>06C4</v>
          </cell>
        </row>
        <row r="1602">
          <cell r="A1602" t="str">
            <v>06C5</v>
          </cell>
        </row>
        <row r="1603">
          <cell r="A1603" t="str">
            <v>06C6</v>
          </cell>
        </row>
        <row r="1604">
          <cell r="A1604" t="str">
            <v>06C7</v>
          </cell>
        </row>
        <row r="1605">
          <cell r="A1605" t="str">
            <v>06C8</v>
          </cell>
        </row>
        <row r="1606">
          <cell r="A1606" t="str">
            <v>06C9</v>
          </cell>
        </row>
        <row r="1607">
          <cell r="A1607" t="str">
            <v>06CA</v>
          </cell>
        </row>
        <row r="1608">
          <cell r="A1608" t="str">
            <v>06CB</v>
          </cell>
        </row>
        <row r="1609">
          <cell r="A1609" t="str">
            <v>06CC</v>
          </cell>
        </row>
        <row r="1610">
          <cell r="A1610" t="str">
            <v>06CD</v>
          </cell>
        </row>
        <row r="1611">
          <cell r="A1611" t="str">
            <v>06CE</v>
          </cell>
        </row>
        <row r="1612">
          <cell r="A1612" t="str">
            <v>06CF</v>
          </cell>
        </row>
        <row r="1613">
          <cell r="A1613" t="str">
            <v>06D0</v>
          </cell>
        </row>
        <row r="1614">
          <cell r="A1614" t="str">
            <v>06D1</v>
          </cell>
        </row>
        <row r="1615">
          <cell r="A1615" t="str">
            <v>06D2</v>
          </cell>
        </row>
        <row r="1616">
          <cell r="A1616" t="str">
            <v>06D3</v>
          </cell>
        </row>
        <row r="1617">
          <cell r="A1617" t="str">
            <v>06D4</v>
          </cell>
        </row>
        <row r="1618">
          <cell r="A1618" t="str">
            <v>06D5</v>
          </cell>
        </row>
        <row r="1619">
          <cell r="A1619" t="str">
            <v>06D6</v>
          </cell>
        </row>
        <row r="1620">
          <cell r="A1620" t="str">
            <v>06D7</v>
          </cell>
        </row>
        <row r="1621">
          <cell r="A1621" t="str">
            <v>06D8</v>
          </cell>
        </row>
        <row r="1622">
          <cell r="A1622" t="str">
            <v>06D9</v>
          </cell>
        </row>
        <row r="1623">
          <cell r="A1623" t="str">
            <v>06DA</v>
          </cell>
        </row>
        <row r="1624">
          <cell r="A1624" t="str">
            <v>06DB</v>
          </cell>
        </row>
        <row r="1625">
          <cell r="A1625" t="str">
            <v>06DC</v>
          </cell>
        </row>
        <row r="1626">
          <cell r="A1626" t="str">
            <v>06DD</v>
          </cell>
        </row>
        <row r="1627">
          <cell r="A1627" t="str">
            <v>06DE</v>
          </cell>
        </row>
        <row r="1628">
          <cell r="A1628" t="str">
            <v>06DF</v>
          </cell>
        </row>
        <row r="1629">
          <cell r="A1629" t="str">
            <v>06E0</v>
          </cell>
        </row>
        <row r="1630">
          <cell r="A1630" t="str">
            <v>06E1</v>
          </cell>
        </row>
        <row r="1631">
          <cell r="A1631" t="str">
            <v>06E2</v>
          </cell>
        </row>
        <row r="1632">
          <cell r="A1632" t="str">
            <v>06E3</v>
          </cell>
        </row>
        <row r="1633">
          <cell r="A1633" t="str">
            <v>06E4</v>
          </cell>
        </row>
        <row r="1634">
          <cell r="A1634" t="str">
            <v>06E5</v>
          </cell>
        </row>
        <row r="1635">
          <cell r="A1635" t="str">
            <v>06E6</v>
          </cell>
        </row>
        <row r="1636">
          <cell r="A1636" t="str">
            <v>06E7</v>
          </cell>
        </row>
        <row r="1637">
          <cell r="A1637" t="str">
            <v>06E8</v>
          </cell>
        </row>
        <row r="1638">
          <cell r="A1638" t="str">
            <v>06E9</v>
          </cell>
        </row>
        <row r="1639">
          <cell r="A1639" t="str">
            <v>06EA</v>
          </cell>
        </row>
        <row r="1640">
          <cell r="A1640" t="str">
            <v>06EB</v>
          </cell>
        </row>
        <row r="1641">
          <cell r="A1641" t="str">
            <v>06EC</v>
          </cell>
        </row>
        <row r="1642">
          <cell r="A1642" t="str">
            <v>06ED</v>
          </cell>
        </row>
        <row r="1643">
          <cell r="A1643" t="str">
            <v>06EE</v>
          </cell>
        </row>
        <row r="1644">
          <cell r="A1644" t="str">
            <v>06EF</v>
          </cell>
        </row>
        <row r="1645">
          <cell r="A1645" t="str">
            <v>06F0</v>
          </cell>
        </row>
        <row r="1646">
          <cell r="A1646" t="str">
            <v>06F1</v>
          </cell>
        </row>
        <row r="1647">
          <cell r="A1647" t="str">
            <v>06F2</v>
          </cell>
        </row>
        <row r="1648">
          <cell r="A1648" t="str">
            <v>06F3</v>
          </cell>
        </row>
        <row r="1649">
          <cell r="A1649" t="str">
            <v>06F4</v>
          </cell>
        </row>
        <row r="1650">
          <cell r="A1650" t="str">
            <v>06F5</v>
          </cell>
        </row>
        <row r="1651">
          <cell r="A1651" t="str">
            <v>06F6</v>
          </cell>
        </row>
        <row r="1652">
          <cell r="A1652" t="str">
            <v>06F7</v>
          </cell>
        </row>
        <row r="1653">
          <cell r="A1653" t="str">
            <v>06F8</v>
          </cell>
        </row>
        <row r="1654">
          <cell r="A1654" t="str">
            <v>06F9</v>
          </cell>
        </row>
        <row r="1655">
          <cell r="A1655" t="str">
            <v>06FA</v>
          </cell>
        </row>
        <row r="1656">
          <cell r="A1656" t="str">
            <v>06FB</v>
          </cell>
        </row>
        <row r="1657">
          <cell r="A1657" t="str">
            <v>06FC</v>
          </cell>
        </row>
        <row r="1658">
          <cell r="A1658" t="str">
            <v>06FD</v>
          </cell>
        </row>
        <row r="1659">
          <cell r="A1659" t="str">
            <v>06FE</v>
          </cell>
        </row>
        <row r="1660">
          <cell r="A1660" t="str">
            <v>06FF</v>
          </cell>
        </row>
        <row r="1661">
          <cell r="A1661" t="str">
            <v>0700</v>
          </cell>
        </row>
        <row r="1662">
          <cell r="A1662" t="str">
            <v>0701</v>
          </cell>
        </row>
        <row r="1663">
          <cell r="A1663" t="str">
            <v>0702</v>
          </cell>
        </row>
        <row r="1664">
          <cell r="A1664" t="str">
            <v>0703</v>
          </cell>
        </row>
        <row r="1665">
          <cell r="A1665" t="str">
            <v>0704</v>
          </cell>
        </row>
        <row r="1666">
          <cell r="A1666" t="str">
            <v>0705</v>
          </cell>
        </row>
        <row r="1667">
          <cell r="A1667" t="str">
            <v>0706</v>
          </cell>
        </row>
        <row r="1668">
          <cell r="A1668" t="str">
            <v>0707</v>
          </cell>
        </row>
        <row r="1669">
          <cell r="A1669" t="str">
            <v>0708</v>
          </cell>
        </row>
        <row r="1670">
          <cell r="A1670" t="str">
            <v>0709</v>
          </cell>
        </row>
        <row r="1671">
          <cell r="A1671" t="str">
            <v>070A</v>
          </cell>
        </row>
        <row r="1672">
          <cell r="A1672" t="str">
            <v>070B</v>
          </cell>
        </row>
        <row r="1673">
          <cell r="A1673" t="str">
            <v>070C</v>
          </cell>
        </row>
        <row r="1674">
          <cell r="A1674" t="str">
            <v>070D</v>
          </cell>
        </row>
        <row r="1675">
          <cell r="A1675" t="str">
            <v>070E</v>
          </cell>
        </row>
        <row r="1676">
          <cell r="A1676" t="str">
            <v>070F</v>
          </cell>
        </row>
        <row r="1677">
          <cell r="A1677" t="str">
            <v>0710</v>
          </cell>
        </row>
        <row r="1678">
          <cell r="A1678" t="str">
            <v>0711</v>
          </cell>
        </row>
        <row r="1679">
          <cell r="A1679" t="str">
            <v>0712</v>
          </cell>
        </row>
        <row r="1680">
          <cell r="A1680" t="str">
            <v>0713</v>
          </cell>
        </row>
        <row r="1681">
          <cell r="A1681" t="str">
            <v>0714</v>
          </cell>
        </row>
        <row r="1682">
          <cell r="A1682" t="str">
            <v>0715</v>
          </cell>
        </row>
        <row r="1683">
          <cell r="A1683" t="str">
            <v>0716</v>
          </cell>
        </row>
        <row r="1684">
          <cell r="A1684" t="str">
            <v>0717</v>
          </cell>
        </row>
        <row r="1685">
          <cell r="A1685" t="str">
            <v>0718</v>
          </cell>
        </row>
        <row r="1686">
          <cell r="A1686" t="str">
            <v>0719</v>
          </cell>
        </row>
        <row r="1687">
          <cell r="A1687" t="str">
            <v>071A</v>
          </cell>
        </row>
        <row r="1688">
          <cell r="A1688" t="str">
            <v>071B</v>
          </cell>
        </row>
        <row r="1689">
          <cell r="A1689" t="str">
            <v>071C</v>
          </cell>
        </row>
        <row r="1690">
          <cell r="A1690" t="str">
            <v>071D</v>
          </cell>
        </row>
        <row r="1691">
          <cell r="A1691" t="str">
            <v>071E</v>
          </cell>
        </row>
        <row r="1692">
          <cell r="A1692" t="str">
            <v>071F</v>
          </cell>
        </row>
        <row r="1693">
          <cell r="A1693" t="str">
            <v>0720</v>
          </cell>
        </row>
        <row r="1694">
          <cell r="A1694" t="str">
            <v>0721</v>
          </cell>
        </row>
        <row r="1695">
          <cell r="A1695" t="str">
            <v>0722</v>
          </cell>
        </row>
        <row r="1696">
          <cell r="A1696" t="str">
            <v>0723</v>
          </cell>
        </row>
        <row r="1697">
          <cell r="A1697" t="str">
            <v>0724</v>
          </cell>
        </row>
        <row r="1698">
          <cell r="A1698" t="str">
            <v>0725</v>
          </cell>
        </row>
        <row r="1699">
          <cell r="A1699" t="str">
            <v>0726</v>
          </cell>
        </row>
        <row r="1700">
          <cell r="A1700" t="str">
            <v>0727</v>
          </cell>
        </row>
        <row r="1701">
          <cell r="A1701" t="str">
            <v>0728</v>
          </cell>
        </row>
        <row r="1702">
          <cell r="A1702" t="str">
            <v>0729</v>
          </cell>
        </row>
        <row r="1703">
          <cell r="A1703" t="str">
            <v>072A</v>
          </cell>
        </row>
        <row r="1704">
          <cell r="A1704" t="str">
            <v>072B</v>
          </cell>
        </row>
        <row r="1705">
          <cell r="A1705" t="str">
            <v>072C</v>
          </cell>
        </row>
        <row r="1706">
          <cell r="A1706" t="str">
            <v>072D</v>
          </cell>
        </row>
        <row r="1707">
          <cell r="A1707" t="str">
            <v>072E</v>
          </cell>
        </row>
        <row r="1708">
          <cell r="A1708" t="str">
            <v>072F</v>
          </cell>
        </row>
        <row r="1709">
          <cell r="A1709" t="str">
            <v>0730</v>
          </cell>
        </row>
        <row r="1710">
          <cell r="A1710" t="str">
            <v>0731</v>
          </cell>
        </row>
        <row r="1711">
          <cell r="A1711" t="str">
            <v>0732</v>
          </cell>
        </row>
        <row r="1712">
          <cell r="A1712" t="str">
            <v>0733</v>
          </cell>
        </row>
        <row r="1713">
          <cell r="A1713" t="str">
            <v>0734</v>
          </cell>
        </row>
        <row r="1714">
          <cell r="A1714" t="str">
            <v>0735</v>
          </cell>
        </row>
        <row r="1715">
          <cell r="A1715" t="str">
            <v>0736</v>
          </cell>
        </row>
        <row r="1716">
          <cell r="A1716" t="str">
            <v>0737</v>
          </cell>
        </row>
        <row r="1717">
          <cell r="A1717" t="str">
            <v>0738</v>
          </cell>
        </row>
        <row r="1718">
          <cell r="A1718" t="str">
            <v>0739</v>
          </cell>
        </row>
        <row r="1719">
          <cell r="A1719" t="str">
            <v>073A</v>
          </cell>
        </row>
        <row r="1720">
          <cell r="A1720" t="str">
            <v>073B</v>
          </cell>
        </row>
        <row r="1721">
          <cell r="A1721" t="str">
            <v>073C</v>
          </cell>
        </row>
        <row r="1722">
          <cell r="A1722" t="str">
            <v>073D</v>
          </cell>
        </row>
        <row r="1723">
          <cell r="A1723" t="str">
            <v>073E</v>
          </cell>
        </row>
        <row r="1724">
          <cell r="A1724" t="str">
            <v>073F</v>
          </cell>
        </row>
        <row r="1725">
          <cell r="A1725" t="str">
            <v>0740</v>
          </cell>
        </row>
        <row r="1726">
          <cell r="A1726" t="str">
            <v>0741</v>
          </cell>
        </row>
        <row r="1727">
          <cell r="A1727" t="str">
            <v>0742</v>
          </cell>
        </row>
        <row r="1728">
          <cell r="A1728" t="str">
            <v>0743</v>
          </cell>
        </row>
        <row r="1729">
          <cell r="A1729" t="str">
            <v>0744</v>
          </cell>
        </row>
        <row r="1730">
          <cell r="A1730" t="str">
            <v>0745</v>
          </cell>
        </row>
        <row r="1731">
          <cell r="A1731" t="str">
            <v>0746</v>
          </cell>
        </row>
        <row r="1732">
          <cell r="A1732" t="str">
            <v>0747</v>
          </cell>
        </row>
        <row r="1733">
          <cell r="A1733" t="str">
            <v>0748</v>
          </cell>
        </row>
        <row r="1734">
          <cell r="A1734" t="str">
            <v>0749</v>
          </cell>
        </row>
        <row r="1735">
          <cell r="A1735" t="str">
            <v>074A</v>
          </cell>
        </row>
        <row r="1736">
          <cell r="A1736" t="str">
            <v>074B</v>
          </cell>
        </row>
        <row r="1737">
          <cell r="A1737" t="str">
            <v>074C</v>
          </cell>
        </row>
        <row r="1738">
          <cell r="A1738" t="str">
            <v>074D</v>
          </cell>
        </row>
        <row r="1739">
          <cell r="A1739" t="str">
            <v>074E</v>
          </cell>
        </row>
        <row r="1740">
          <cell r="A1740" t="str">
            <v>074F</v>
          </cell>
        </row>
        <row r="1741">
          <cell r="A1741" t="str">
            <v>0750</v>
          </cell>
        </row>
        <row r="1742">
          <cell r="A1742" t="str">
            <v>0751</v>
          </cell>
        </row>
        <row r="1743">
          <cell r="A1743" t="str">
            <v>0752</v>
          </cell>
        </row>
        <row r="1744">
          <cell r="A1744" t="str">
            <v>0753</v>
          </cell>
        </row>
        <row r="1745">
          <cell r="A1745" t="str">
            <v>0754</v>
          </cell>
        </row>
        <row r="1746">
          <cell r="A1746" t="str">
            <v>0755</v>
          </cell>
        </row>
        <row r="1747">
          <cell r="A1747" t="str">
            <v>0756</v>
          </cell>
        </row>
        <row r="1748">
          <cell r="A1748" t="str">
            <v>0757</v>
          </cell>
        </row>
        <row r="1749">
          <cell r="A1749" t="str">
            <v>0758</v>
          </cell>
        </row>
        <row r="1750">
          <cell r="A1750" t="str">
            <v>0759</v>
          </cell>
        </row>
        <row r="1751">
          <cell r="A1751" t="str">
            <v>075A</v>
          </cell>
        </row>
        <row r="1752">
          <cell r="A1752" t="str">
            <v>075B</v>
          </cell>
        </row>
        <row r="1753">
          <cell r="A1753" t="str">
            <v>075C</v>
          </cell>
        </row>
        <row r="1754">
          <cell r="A1754" t="str">
            <v>075D</v>
          </cell>
        </row>
        <row r="1755">
          <cell r="A1755" t="str">
            <v>075E</v>
          </cell>
        </row>
        <row r="1756">
          <cell r="A1756" t="str">
            <v>075F</v>
          </cell>
        </row>
        <row r="1757">
          <cell r="A1757" t="str">
            <v>0760</v>
          </cell>
        </row>
        <row r="1758">
          <cell r="A1758" t="str">
            <v>0761</v>
          </cell>
        </row>
        <row r="1759">
          <cell r="A1759" t="str">
            <v>0762</v>
          </cell>
        </row>
        <row r="1760">
          <cell r="A1760" t="str">
            <v>0763</v>
          </cell>
        </row>
        <row r="1761">
          <cell r="A1761" t="str">
            <v>0764</v>
          </cell>
        </row>
        <row r="1762">
          <cell r="A1762" t="str">
            <v>0765</v>
          </cell>
        </row>
        <row r="1763">
          <cell r="A1763" t="str">
            <v>0766</v>
          </cell>
        </row>
        <row r="1764">
          <cell r="A1764" t="str">
            <v>0767</v>
          </cell>
        </row>
        <row r="1765">
          <cell r="A1765" t="str">
            <v>0768</v>
          </cell>
        </row>
        <row r="1766">
          <cell r="A1766" t="str">
            <v>0769</v>
          </cell>
        </row>
        <row r="1767">
          <cell r="A1767" t="str">
            <v>076A</v>
          </cell>
        </row>
        <row r="1768">
          <cell r="A1768" t="str">
            <v>076B</v>
          </cell>
        </row>
        <row r="1769">
          <cell r="A1769" t="str">
            <v>076C</v>
          </cell>
        </row>
        <row r="1770">
          <cell r="A1770" t="str">
            <v>076D</v>
          </cell>
        </row>
        <row r="1771">
          <cell r="A1771" t="str">
            <v>076E</v>
          </cell>
        </row>
        <row r="1772">
          <cell r="A1772" t="str">
            <v>076F</v>
          </cell>
        </row>
        <row r="1773">
          <cell r="A1773" t="str">
            <v>0770</v>
          </cell>
        </row>
        <row r="1774">
          <cell r="A1774" t="str">
            <v>0771</v>
          </cell>
        </row>
        <row r="1775">
          <cell r="A1775" t="str">
            <v>0772</v>
          </cell>
        </row>
        <row r="1776">
          <cell r="A1776" t="str">
            <v>0773</v>
          </cell>
        </row>
        <row r="1777">
          <cell r="A1777" t="str">
            <v>0774</v>
          </cell>
        </row>
        <row r="1778">
          <cell r="A1778" t="str">
            <v>0775</v>
          </cell>
        </row>
        <row r="1779">
          <cell r="A1779" t="str">
            <v>0776</v>
          </cell>
        </row>
        <row r="1780">
          <cell r="A1780" t="str">
            <v>0777</v>
          </cell>
        </row>
        <row r="1781">
          <cell r="A1781" t="str">
            <v>0778</v>
          </cell>
        </row>
        <row r="1782">
          <cell r="A1782" t="str">
            <v>0779</v>
          </cell>
        </row>
        <row r="1783">
          <cell r="A1783" t="str">
            <v>077A</v>
          </cell>
        </row>
        <row r="1784">
          <cell r="A1784" t="str">
            <v>077B</v>
          </cell>
        </row>
        <row r="1785">
          <cell r="A1785" t="str">
            <v>077C</v>
          </cell>
        </row>
        <row r="1786">
          <cell r="A1786" t="str">
            <v>077D</v>
          </cell>
        </row>
        <row r="1787">
          <cell r="A1787" t="str">
            <v>077E</v>
          </cell>
        </row>
        <row r="1788">
          <cell r="A1788" t="str">
            <v>077F</v>
          </cell>
        </row>
        <row r="1789">
          <cell r="A1789" t="str">
            <v>0780</v>
          </cell>
        </row>
        <row r="1790">
          <cell r="A1790" t="str">
            <v>0781</v>
          </cell>
        </row>
        <row r="1791">
          <cell r="A1791" t="str">
            <v>0782</v>
          </cell>
        </row>
        <row r="1792">
          <cell r="A1792" t="str">
            <v>0783</v>
          </cell>
        </row>
        <row r="1793">
          <cell r="A1793" t="str">
            <v>0784</v>
          </cell>
        </row>
        <row r="1794">
          <cell r="A1794" t="str">
            <v>0785</v>
          </cell>
        </row>
        <row r="1795">
          <cell r="A1795" t="str">
            <v>0786</v>
          </cell>
        </row>
        <row r="1796">
          <cell r="A1796" t="str">
            <v>0787</v>
          </cell>
        </row>
        <row r="1797">
          <cell r="A1797" t="str">
            <v>0788</v>
          </cell>
        </row>
        <row r="1798">
          <cell r="A1798" t="str">
            <v>0789</v>
          </cell>
        </row>
        <row r="1799">
          <cell r="A1799" t="str">
            <v>078A</v>
          </cell>
        </row>
        <row r="1800">
          <cell r="A1800" t="str">
            <v>078B</v>
          </cell>
        </row>
        <row r="1801">
          <cell r="A1801" t="str">
            <v>078C</v>
          </cell>
        </row>
        <row r="1802">
          <cell r="A1802" t="str">
            <v>078D</v>
          </cell>
        </row>
        <row r="1803">
          <cell r="A1803" t="str">
            <v>078E</v>
          </cell>
        </row>
        <row r="1804">
          <cell r="A1804" t="str">
            <v>078F</v>
          </cell>
        </row>
        <row r="1805">
          <cell r="A1805" t="str">
            <v>0790</v>
          </cell>
        </row>
        <row r="1806">
          <cell r="A1806" t="str">
            <v>0791</v>
          </cell>
        </row>
        <row r="1807">
          <cell r="A1807" t="str">
            <v>0792</v>
          </cell>
        </row>
        <row r="1808">
          <cell r="A1808" t="str">
            <v>0793</v>
          </cell>
        </row>
        <row r="1809">
          <cell r="A1809" t="str">
            <v>0794</v>
          </cell>
        </row>
        <row r="1810">
          <cell r="A1810" t="str">
            <v>0795</v>
          </cell>
        </row>
        <row r="1811">
          <cell r="A1811" t="str">
            <v>0796</v>
          </cell>
        </row>
        <row r="1812">
          <cell r="A1812" t="str">
            <v>0797</v>
          </cell>
        </row>
        <row r="1813">
          <cell r="A1813" t="str">
            <v>0798</v>
          </cell>
        </row>
        <row r="1814">
          <cell r="A1814" t="str">
            <v>0799</v>
          </cell>
        </row>
        <row r="1815">
          <cell r="A1815" t="str">
            <v>079A</v>
          </cell>
        </row>
        <row r="1816">
          <cell r="A1816" t="str">
            <v>079B</v>
          </cell>
        </row>
        <row r="1817">
          <cell r="A1817" t="str">
            <v>079C</v>
          </cell>
        </row>
        <row r="1818">
          <cell r="A1818" t="str">
            <v>079D</v>
          </cell>
        </row>
        <row r="1819">
          <cell r="A1819" t="str">
            <v>079E</v>
          </cell>
        </row>
        <row r="1820">
          <cell r="A1820" t="str">
            <v>079F</v>
          </cell>
        </row>
        <row r="1821">
          <cell r="A1821" t="str">
            <v>07A0</v>
          </cell>
        </row>
        <row r="1822">
          <cell r="A1822" t="str">
            <v>07A1</v>
          </cell>
        </row>
        <row r="1823">
          <cell r="A1823" t="str">
            <v>07A2</v>
          </cell>
        </row>
        <row r="1824">
          <cell r="A1824" t="str">
            <v>07A3</v>
          </cell>
        </row>
        <row r="1825">
          <cell r="A1825" t="str">
            <v>07A4</v>
          </cell>
        </row>
        <row r="1826">
          <cell r="A1826" t="str">
            <v>07A5</v>
          </cell>
        </row>
        <row r="1827">
          <cell r="A1827" t="str">
            <v>07A6</v>
          </cell>
        </row>
        <row r="1828">
          <cell r="A1828" t="str">
            <v>07A7</v>
          </cell>
        </row>
        <row r="1829">
          <cell r="A1829" t="str">
            <v>07A8</v>
          </cell>
        </row>
        <row r="1830">
          <cell r="A1830" t="str">
            <v>07A9</v>
          </cell>
        </row>
        <row r="1831">
          <cell r="A1831" t="str">
            <v>07AA</v>
          </cell>
        </row>
        <row r="1832">
          <cell r="A1832" t="str">
            <v>07AB</v>
          </cell>
        </row>
        <row r="1833">
          <cell r="A1833" t="str">
            <v>07AC</v>
          </cell>
        </row>
        <row r="1834">
          <cell r="A1834" t="str">
            <v>07AD</v>
          </cell>
        </row>
        <row r="1835">
          <cell r="A1835" t="str">
            <v>07AE</v>
          </cell>
        </row>
        <row r="1836">
          <cell r="A1836" t="str">
            <v>07AF</v>
          </cell>
        </row>
        <row r="1837">
          <cell r="A1837" t="str">
            <v>07B0</v>
          </cell>
        </row>
        <row r="1838">
          <cell r="A1838" t="str">
            <v>07B1</v>
          </cell>
        </row>
        <row r="1839">
          <cell r="A1839" t="str">
            <v>07B2</v>
          </cell>
        </row>
        <row r="1840">
          <cell r="A1840" t="str">
            <v>07B3</v>
          </cell>
        </row>
        <row r="1841">
          <cell r="A1841" t="str">
            <v>07B4</v>
          </cell>
        </row>
        <row r="1842">
          <cell r="A1842" t="str">
            <v>07B5</v>
          </cell>
        </row>
        <row r="1843">
          <cell r="A1843" t="str">
            <v>07B6</v>
          </cell>
        </row>
        <row r="1844">
          <cell r="A1844" t="str">
            <v>07B7</v>
          </cell>
        </row>
        <row r="1845">
          <cell r="A1845" t="str">
            <v>07B8</v>
          </cell>
        </row>
        <row r="1846">
          <cell r="A1846" t="str">
            <v>07B9</v>
          </cell>
        </row>
        <row r="1847">
          <cell r="A1847" t="str">
            <v>07BA</v>
          </cell>
        </row>
        <row r="1848">
          <cell r="A1848" t="str">
            <v>07BB</v>
          </cell>
        </row>
        <row r="1849">
          <cell r="A1849" t="str">
            <v>07BC</v>
          </cell>
        </row>
        <row r="1850">
          <cell r="A1850" t="str">
            <v>07BD</v>
          </cell>
        </row>
        <row r="1851">
          <cell r="A1851" t="str">
            <v>07BE</v>
          </cell>
        </row>
        <row r="1852">
          <cell r="A1852" t="str">
            <v>07BF</v>
          </cell>
        </row>
        <row r="1853">
          <cell r="A1853" t="str">
            <v>07C0</v>
          </cell>
        </row>
        <row r="1854">
          <cell r="A1854" t="str">
            <v>07C1</v>
          </cell>
        </row>
        <row r="1855">
          <cell r="A1855" t="str">
            <v>07C2</v>
          </cell>
        </row>
        <row r="1856">
          <cell r="A1856" t="str">
            <v>07C3</v>
          </cell>
        </row>
        <row r="1857">
          <cell r="A1857" t="str">
            <v>07C4</v>
          </cell>
        </row>
        <row r="1858">
          <cell r="A1858" t="str">
            <v>07C5</v>
          </cell>
        </row>
        <row r="1859">
          <cell r="A1859" t="str">
            <v>07C6</v>
          </cell>
        </row>
        <row r="1860">
          <cell r="A1860" t="str">
            <v>07C7</v>
          </cell>
        </row>
        <row r="1861">
          <cell r="A1861" t="str">
            <v>07C8</v>
          </cell>
        </row>
        <row r="1862">
          <cell r="A1862" t="str">
            <v>07C9</v>
          </cell>
        </row>
        <row r="1863">
          <cell r="A1863" t="str">
            <v>07CA</v>
          </cell>
        </row>
        <row r="1864">
          <cell r="A1864" t="str">
            <v>07CB</v>
          </cell>
        </row>
        <row r="1865">
          <cell r="A1865" t="str">
            <v>07CC</v>
          </cell>
        </row>
        <row r="1866">
          <cell r="A1866" t="str">
            <v>07CD</v>
          </cell>
        </row>
        <row r="1867">
          <cell r="A1867" t="str">
            <v>07CE</v>
          </cell>
        </row>
        <row r="1868">
          <cell r="A1868" t="str">
            <v>07CF</v>
          </cell>
        </row>
        <row r="1869">
          <cell r="A1869" t="str">
            <v>07D0</v>
          </cell>
        </row>
        <row r="1870">
          <cell r="A1870" t="str">
            <v>07D1</v>
          </cell>
        </row>
        <row r="1871">
          <cell r="A1871" t="str">
            <v>07D2</v>
          </cell>
        </row>
        <row r="1872">
          <cell r="A1872" t="str">
            <v>07D3</v>
          </cell>
        </row>
        <row r="1873">
          <cell r="A1873" t="str">
            <v>07D4</v>
          </cell>
        </row>
        <row r="1874">
          <cell r="A1874" t="str">
            <v>07D5</v>
          </cell>
        </row>
        <row r="1875">
          <cell r="A1875" t="str">
            <v>07D6</v>
          </cell>
        </row>
        <row r="1876">
          <cell r="A1876" t="str">
            <v>07D7</v>
          </cell>
        </row>
        <row r="1877">
          <cell r="A1877" t="str">
            <v>07D8</v>
          </cell>
        </row>
        <row r="1878">
          <cell r="A1878" t="str">
            <v>07D9</v>
          </cell>
        </row>
        <row r="1879">
          <cell r="A1879" t="str">
            <v>07DA</v>
          </cell>
        </row>
        <row r="1880">
          <cell r="A1880" t="str">
            <v>07DB</v>
          </cell>
        </row>
        <row r="1881">
          <cell r="A1881" t="str">
            <v>07DC</v>
          </cell>
        </row>
        <row r="1882">
          <cell r="A1882" t="str">
            <v>07DD</v>
          </cell>
        </row>
        <row r="1883">
          <cell r="A1883" t="str">
            <v>07DE</v>
          </cell>
        </row>
        <row r="1884">
          <cell r="A1884" t="str">
            <v>07DF</v>
          </cell>
        </row>
        <row r="1885">
          <cell r="A1885" t="str">
            <v>07E0</v>
          </cell>
        </row>
        <row r="1886">
          <cell r="A1886" t="str">
            <v>07E1</v>
          </cell>
        </row>
        <row r="1887">
          <cell r="A1887" t="str">
            <v>07E2</v>
          </cell>
        </row>
        <row r="1888">
          <cell r="A1888" t="str">
            <v>07E3</v>
          </cell>
        </row>
        <row r="1889">
          <cell r="A1889" t="str">
            <v>07E4</v>
          </cell>
        </row>
        <row r="1890">
          <cell r="A1890" t="str">
            <v>07E5</v>
          </cell>
        </row>
        <row r="1891">
          <cell r="A1891" t="str">
            <v>07E6</v>
          </cell>
        </row>
        <row r="1892">
          <cell r="A1892" t="str">
            <v>07E7</v>
          </cell>
        </row>
        <row r="1893">
          <cell r="A1893" t="str">
            <v>07E8</v>
          </cell>
        </row>
        <row r="1894">
          <cell r="A1894" t="str">
            <v>07E9</v>
          </cell>
        </row>
        <row r="1895">
          <cell r="A1895" t="str">
            <v>07EA</v>
          </cell>
        </row>
        <row r="1896">
          <cell r="A1896" t="str">
            <v>07EB</v>
          </cell>
        </row>
        <row r="1897">
          <cell r="A1897" t="str">
            <v>07EC</v>
          </cell>
        </row>
        <row r="1898">
          <cell r="A1898" t="str">
            <v>07ED</v>
          </cell>
        </row>
        <row r="1899">
          <cell r="A1899" t="str">
            <v>07EE</v>
          </cell>
        </row>
        <row r="1900">
          <cell r="A1900" t="str">
            <v>07EF</v>
          </cell>
        </row>
        <row r="1901">
          <cell r="A1901" t="str">
            <v>07F0</v>
          </cell>
        </row>
        <row r="1902">
          <cell r="A1902" t="str">
            <v>07F1</v>
          </cell>
        </row>
        <row r="1903">
          <cell r="A1903" t="str">
            <v>07F2</v>
          </cell>
        </row>
        <row r="1904">
          <cell r="A1904" t="str">
            <v>07F3</v>
          </cell>
        </row>
        <row r="1905">
          <cell r="A1905" t="str">
            <v>07F4</v>
          </cell>
        </row>
        <row r="1906">
          <cell r="A1906" t="str">
            <v>07F5</v>
          </cell>
        </row>
        <row r="1907">
          <cell r="A1907" t="str">
            <v>07F6</v>
          </cell>
        </row>
        <row r="1908">
          <cell r="A1908" t="str">
            <v>07F7</v>
          </cell>
        </row>
        <row r="1909">
          <cell r="A1909" t="str">
            <v>0800</v>
          </cell>
        </row>
        <row r="1910">
          <cell r="A1910" t="str">
            <v>0801</v>
          </cell>
        </row>
        <row r="1911">
          <cell r="A1911" t="str">
            <v>0802</v>
          </cell>
        </row>
        <row r="1912">
          <cell r="A1912" t="str">
            <v>0803</v>
          </cell>
        </row>
        <row r="1913">
          <cell r="A1913" t="str">
            <v>0804</v>
          </cell>
        </row>
        <row r="1914">
          <cell r="A1914" t="str">
            <v>0805</v>
          </cell>
        </row>
        <row r="1915">
          <cell r="A1915" t="str">
            <v>0806</v>
          </cell>
        </row>
        <row r="1916">
          <cell r="A1916" t="str">
            <v>0807</v>
          </cell>
        </row>
        <row r="1917">
          <cell r="A1917" t="str">
            <v>0808</v>
          </cell>
        </row>
        <row r="1918">
          <cell r="A1918" t="str">
            <v>0809</v>
          </cell>
        </row>
        <row r="1919">
          <cell r="A1919" t="str">
            <v>080A</v>
          </cell>
        </row>
        <row r="1920">
          <cell r="A1920" t="str">
            <v>080B</v>
          </cell>
        </row>
        <row r="1921">
          <cell r="A1921" t="str">
            <v>080C</v>
          </cell>
        </row>
        <row r="1922">
          <cell r="A1922" t="str">
            <v>080D</v>
          </cell>
        </row>
        <row r="1923">
          <cell r="A1923" t="str">
            <v>0810</v>
          </cell>
        </row>
        <row r="1924">
          <cell r="A1924" t="str">
            <v>0811</v>
          </cell>
        </row>
        <row r="1925">
          <cell r="A1925" t="str">
            <v>0812</v>
          </cell>
        </row>
        <row r="1926">
          <cell r="A1926" t="str">
            <v>0813</v>
          </cell>
        </row>
        <row r="1927">
          <cell r="A1927" t="str">
            <v>0814</v>
          </cell>
        </row>
        <row r="1928">
          <cell r="A1928" t="str">
            <v>0815</v>
          </cell>
        </row>
        <row r="1929">
          <cell r="A1929" t="str">
            <v>0816</v>
          </cell>
        </row>
        <row r="1930">
          <cell r="A1930" t="str">
            <v>0817</v>
          </cell>
        </row>
        <row r="1931">
          <cell r="A1931" t="str">
            <v>0818</v>
          </cell>
        </row>
        <row r="1932">
          <cell r="A1932" t="str">
            <v>0819</v>
          </cell>
        </row>
        <row r="1933">
          <cell r="A1933" t="str">
            <v>081A</v>
          </cell>
        </row>
        <row r="1934">
          <cell r="A1934" t="str">
            <v>081B</v>
          </cell>
        </row>
        <row r="1935">
          <cell r="A1935" t="str">
            <v>081C</v>
          </cell>
        </row>
        <row r="1936">
          <cell r="A1936" t="str">
            <v>081D</v>
          </cell>
        </row>
        <row r="1937">
          <cell r="A1937" t="str">
            <v>081E</v>
          </cell>
        </row>
        <row r="1938">
          <cell r="A1938" t="str">
            <v>081F</v>
          </cell>
        </row>
        <row r="1939">
          <cell r="A1939" t="str">
            <v>0820</v>
          </cell>
        </row>
        <row r="1940">
          <cell r="A1940" t="str">
            <v>0821</v>
          </cell>
        </row>
        <row r="1941">
          <cell r="A1941" t="str">
            <v>0822</v>
          </cell>
        </row>
        <row r="1942">
          <cell r="A1942" t="str">
            <v>0823</v>
          </cell>
        </row>
        <row r="1943">
          <cell r="A1943" t="str">
            <v>0824</v>
          </cell>
        </row>
        <row r="1944">
          <cell r="A1944" t="str">
            <v>0825</v>
          </cell>
        </row>
        <row r="1945">
          <cell r="A1945" t="str">
            <v>0826</v>
          </cell>
        </row>
        <row r="1946">
          <cell r="A1946" t="str">
            <v>0827</v>
          </cell>
        </row>
        <row r="1947">
          <cell r="A1947" t="str">
            <v>0828</v>
          </cell>
        </row>
        <row r="1948">
          <cell r="A1948" t="str">
            <v>0829</v>
          </cell>
        </row>
        <row r="1949">
          <cell r="A1949" t="str">
            <v>082A</v>
          </cell>
        </row>
        <row r="1950">
          <cell r="A1950" t="str">
            <v>082B</v>
          </cell>
        </row>
        <row r="1951">
          <cell r="A1951" t="str">
            <v>082C</v>
          </cell>
        </row>
        <row r="1952">
          <cell r="A1952" t="str">
            <v>082D</v>
          </cell>
        </row>
        <row r="1953">
          <cell r="A1953" t="str">
            <v>082E</v>
          </cell>
        </row>
        <row r="1954">
          <cell r="A1954" t="str">
            <v>082F</v>
          </cell>
        </row>
        <row r="1955">
          <cell r="A1955" t="str">
            <v>0830</v>
          </cell>
        </row>
        <row r="1956">
          <cell r="A1956" t="str">
            <v>0831</v>
          </cell>
        </row>
        <row r="1957">
          <cell r="A1957" t="str">
            <v>0832</v>
          </cell>
        </row>
        <row r="1958">
          <cell r="A1958" t="str">
            <v>0833</v>
          </cell>
        </row>
        <row r="1959">
          <cell r="A1959" t="str">
            <v>0834</v>
          </cell>
        </row>
        <row r="1960">
          <cell r="A1960" t="str">
            <v>0835</v>
          </cell>
        </row>
        <row r="1961">
          <cell r="A1961" t="str">
            <v>0836</v>
          </cell>
        </row>
        <row r="1962">
          <cell r="A1962" t="str">
            <v>0837</v>
          </cell>
        </row>
        <row r="1963">
          <cell r="A1963" t="str">
            <v>0838</v>
          </cell>
        </row>
        <row r="1964">
          <cell r="A1964" t="str">
            <v>0839</v>
          </cell>
        </row>
        <row r="1965">
          <cell r="A1965" t="str">
            <v>083A</v>
          </cell>
        </row>
        <row r="1966">
          <cell r="A1966" t="str">
            <v>083B</v>
          </cell>
        </row>
        <row r="1967">
          <cell r="A1967" t="str">
            <v>083C</v>
          </cell>
        </row>
        <row r="1968">
          <cell r="A1968" t="str">
            <v>083D</v>
          </cell>
        </row>
        <row r="1969">
          <cell r="A1969" t="str">
            <v>083E</v>
          </cell>
        </row>
        <row r="1970">
          <cell r="A1970" t="str">
            <v>083F</v>
          </cell>
        </row>
        <row r="1971">
          <cell r="A1971" t="str">
            <v>0840</v>
          </cell>
        </row>
        <row r="1972">
          <cell r="A1972" t="str">
            <v>0841</v>
          </cell>
        </row>
        <row r="1973">
          <cell r="A1973" t="str">
            <v>0842</v>
          </cell>
        </row>
        <row r="1974">
          <cell r="A1974" t="str">
            <v>0843</v>
          </cell>
        </row>
        <row r="1975">
          <cell r="A1975" t="str">
            <v>0844</v>
          </cell>
        </row>
        <row r="1976">
          <cell r="A1976" t="str">
            <v>0845</v>
          </cell>
        </row>
        <row r="1977">
          <cell r="A1977" t="str">
            <v>0846</v>
          </cell>
        </row>
        <row r="1978">
          <cell r="A1978" t="str">
            <v>0847</v>
          </cell>
        </row>
        <row r="1979">
          <cell r="A1979" t="str">
            <v>0848</v>
          </cell>
        </row>
        <row r="1980">
          <cell r="A1980" t="str">
            <v>0849</v>
          </cell>
        </row>
        <row r="1981">
          <cell r="A1981" t="str">
            <v>084A</v>
          </cell>
        </row>
        <row r="1982">
          <cell r="A1982" t="str">
            <v>084B</v>
          </cell>
        </row>
        <row r="1983">
          <cell r="A1983" t="str">
            <v>084C</v>
          </cell>
        </row>
        <row r="1984">
          <cell r="A1984" t="str">
            <v>084D</v>
          </cell>
        </row>
        <row r="1985">
          <cell r="A1985" t="str">
            <v>084E</v>
          </cell>
        </row>
        <row r="1986">
          <cell r="A1986" t="str">
            <v>084F</v>
          </cell>
        </row>
        <row r="1987">
          <cell r="A1987" t="str">
            <v>0850</v>
          </cell>
        </row>
        <row r="1988">
          <cell r="A1988" t="str">
            <v>0851</v>
          </cell>
        </row>
        <row r="1989">
          <cell r="A1989" t="str">
            <v>0852</v>
          </cell>
        </row>
        <row r="1990">
          <cell r="A1990" t="str">
            <v>0853</v>
          </cell>
        </row>
        <row r="1991">
          <cell r="A1991" t="str">
            <v>0854</v>
          </cell>
        </row>
        <row r="1992">
          <cell r="A1992" t="str">
            <v>0855</v>
          </cell>
        </row>
        <row r="1993">
          <cell r="A1993" t="str">
            <v>0856</v>
          </cell>
        </row>
        <row r="1994">
          <cell r="A1994" t="str">
            <v>0857</v>
          </cell>
        </row>
        <row r="1995">
          <cell r="A1995" t="str">
            <v>0858</v>
          </cell>
        </row>
        <row r="1996">
          <cell r="A1996" t="str">
            <v>0859</v>
          </cell>
        </row>
        <row r="1997">
          <cell r="A1997" t="str">
            <v>085A</v>
          </cell>
        </row>
        <row r="1998">
          <cell r="A1998" t="str">
            <v>085B</v>
          </cell>
        </row>
        <row r="1999">
          <cell r="A1999" t="str">
            <v>085C</v>
          </cell>
        </row>
        <row r="2000">
          <cell r="A2000" t="str">
            <v>085D</v>
          </cell>
        </row>
        <row r="2001">
          <cell r="A2001" t="str">
            <v>085E</v>
          </cell>
        </row>
        <row r="2002">
          <cell r="A2002" t="str">
            <v>0860</v>
          </cell>
        </row>
        <row r="2003">
          <cell r="A2003" t="str">
            <v>0861</v>
          </cell>
        </row>
        <row r="2004">
          <cell r="A2004" t="str">
            <v>0862</v>
          </cell>
        </row>
        <row r="2005">
          <cell r="A2005" t="str">
            <v>0863</v>
          </cell>
        </row>
        <row r="2006">
          <cell r="A2006" t="str">
            <v>0864</v>
          </cell>
        </row>
        <row r="2007">
          <cell r="A2007" t="str">
            <v>0865</v>
          </cell>
        </row>
        <row r="2008">
          <cell r="A2008" t="str">
            <v>0866</v>
          </cell>
        </row>
        <row r="2009">
          <cell r="A2009" t="str">
            <v>0867</v>
          </cell>
        </row>
        <row r="2010">
          <cell r="A2010" t="str">
            <v>0868</v>
          </cell>
        </row>
        <row r="2011">
          <cell r="A2011" t="str">
            <v>0869</v>
          </cell>
        </row>
        <row r="2012">
          <cell r="A2012" t="str">
            <v>086A</v>
          </cell>
        </row>
        <row r="2013">
          <cell r="A2013" t="str">
            <v>086B</v>
          </cell>
        </row>
        <row r="2014">
          <cell r="A2014" t="str">
            <v>086C</v>
          </cell>
        </row>
        <row r="2015">
          <cell r="A2015" t="str">
            <v>086D</v>
          </cell>
        </row>
        <row r="2016">
          <cell r="A2016" t="str">
            <v>086E</v>
          </cell>
        </row>
        <row r="2017">
          <cell r="A2017" t="str">
            <v>086F</v>
          </cell>
        </row>
        <row r="2018">
          <cell r="A2018" t="str">
            <v>0870</v>
          </cell>
        </row>
        <row r="2019">
          <cell r="A2019" t="str">
            <v>0871</v>
          </cell>
        </row>
        <row r="2020">
          <cell r="A2020" t="str">
            <v>0872</v>
          </cell>
        </row>
        <row r="2021">
          <cell r="A2021" t="str">
            <v>0873</v>
          </cell>
        </row>
        <row r="2022">
          <cell r="A2022" t="str">
            <v>0874</v>
          </cell>
        </row>
        <row r="2023">
          <cell r="A2023" t="str">
            <v>0875</v>
          </cell>
        </row>
        <row r="2024">
          <cell r="A2024" t="str">
            <v>0876</v>
          </cell>
        </row>
        <row r="2025">
          <cell r="A2025" t="str">
            <v>0877</v>
          </cell>
        </row>
        <row r="2026">
          <cell r="A2026" t="str">
            <v>0878</v>
          </cell>
        </row>
        <row r="2027">
          <cell r="A2027" t="str">
            <v>0879</v>
          </cell>
        </row>
        <row r="2028">
          <cell r="A2028" t="str">
            <v>087A</v>
          </cell>
        </row>
        <row r="2029">
          <cell r="A2029" t="str">
            <v>087B</v>
          </cell>
        </row>
        <row r="2030">
          <cell r="A2030" t="str">
            <v>087C</v>
          </cell>
        </row>
        <row r="2031">
          <cell r="A2031" t="str">
            <v>087D</v>
          </cell>
        </row>
        <row r="2032">
          <cell r="A2032" t="str">
            <v>087E</v>
          </cell>
        </row>
        <row r="2033">
          <cell r="A2033" t="str">
            <v>0880</v>
          </cell>
        </row>
        <row r="2034">
          <cell r="A2034" t="str">
            <v>0881</v>
          </cell>
        </row>
        <row r="2035">
          <cell r="A2035" t="str">
            <v>0882</v>
          </cell>
        </row>
        <row r="2036">
          <cell r="A2036" t="str">
            <v>0883</v>
          </cell>
        </row>
        <row r="2037">
          <cell r="A2037" t="str">
            <v>0884</v>
          </cell>
        </row>
        <row r="2038">
          <cell r="A2038" t="str">
            <v>0885</v>
          </cell>
        </row>
        <row r="2039">
          <cell r="A2039" t="str">
            <v>0886</v>
          </cell>
        </row>
        <row r="2040">
          <cell r="A2040" t="str">
            <v>0887</v>
          </cell>
        </row>
        <row r="2041">
          <cell r="A2041" t="str">
            <v>0888</v>
          </cell>
        </row>
        <row r="2042">
          <cell r="A2042" t="str">
            <v>0889</v>
          </cell>
        </row>
        <row r="2043">
          <cell r="A2043" t="str">
            <v>088A</v>
          </cell>
        </row>
        <row r="2044">
          <cell r="A2044" t="str">
            <v>088B</v>
          </cell>
        </row>
        <row r="2045">
          <cell r="A2045" t="str">
            <v>088C</v>
          </cell>
        </row>
        <row r="2046">
          <cell r="A2046" t="str">
            <v>088D</v>
          </cell>
        </row>
        <row r="2047">
          <cell r="A2047" t="str">
            <v>0890</v>
          </cell>
        </row>
        <row r="2048">
          <cell r="A2048" t="str">
            <v>0891</v>
          </cell>
        </row>
        <row r="2049">
          <cell r="A2049" t="str">
            <v>0892</v>
          </cell>
        </row>
        <row r="2050">
          <cell r="A2050" t="str">
            <v>0893</v>
          </cell>
        </row>
        <row r="2051">
          <cell r="A2051" t="str">
            <v>0894</v>
          </cell>
        </row>
        <row r="2052">
          <cell r="A2052" t="str">
            <v>0895</v>
          </cell>
        </row>
        <row r="2053">
          <cell r="A2053" t="str">
            <v>0896</v>
          </cell>
        </row>
        <row r="2054">
          <cell r="A2054" t="str">
            <v>0897</v>
          </cell>
        </row>
        <row r="2055">
          <cell r="A2055" t="str">
            <v>0898</v>
          </cell>
        </row>
        <row r="2056">
          <cell r="A2056" t="str">
            <v>0899</v>
          </cell>
        </row>
        <row r="2057">
          <cell r="A2057" t="str">
            <v>089A</v>
          </cell>
        </row>
        <row r="2058">
          <cell r="A2058" t="str">
            <v>089B</v>
          </cell>
        </row>
        <row r="2059">
          <cell r="A2059" t="str">
            <v>089C</v>
          </cell>
        </row>
        <row r="2060">
          <cell r="A2060" t="str">
            <v>089D</v>
          </cell>
        </row>
        <row r="2061">
          <cell r="A2061" t="str">
            <v>089E</v>
          </cell>
        </row>
        <row r="2062">
          <cell r="A2062" t="str">
            <v>089F</v>
          </cell>
        </row>
        <row r="2063">
          <cell r="A2063" t="str">
            <v>08A0</v>
          </cell>
        </row>
        <row r="2064">
          <cell r="A2064" t="str">
            <v>08A1</v>
          </cell>
        </row>
        <row r="2065">
          <cell r="A2065" t="str">
            <v>08A2</v>
          </cell>
        </row>
        <row r="2066">
          <cell r="A2066" t="str">
            <v>08A3</v>
          </cell>
        </row>
        <row r="2067">
          <cell r="A2067" t="str">
            <v>08A4</v>
          </cell>
        </row>
        <row r="2068">
          <cell r="A2068" t="str">
            <v>08A5</v>
          </cell>
        </row>
        <row r="2069">
          <cell r="A2069" t="str">
            <v>08A6</v>
          </cell>
        </row>
        <row r="2070">
          <cell r="A2070" t="str">
            <v>08A7</v>
          </cell>
        </row>
        <row r="2071">
          <cell r="A2071" t="str">
            <v>08A8</v>
          </cell>
        </row>
        <row r="2072">
          <cell r="A2072" t="str">
            <v>08A9</v>
          </cell>
        </row>
        <row r="2073">
          <cell r="A2073" t="str">
            <v>08AA</v>
          </cell>
        </row>
        <row r="2074">
          <cell r="A2074" t="str">
            <v>08AB</v>
          </cell>
        </row>
        <row r="2075">
          <cell r="A2075" t="str">
            <v>08AC</v>
          </cell>
        </row>
        <row r="2076">
          <cell r="A2076" t="str">
            <v>08AD</v>
          </cell>
        </row>
        <row r="2077">
          <cell r="A2077" t="str">
            <v>08AE</v>
          </cell>
        </row>
        <row r="2078">
          <cell r="A2078" t="str">
            <v>08AF</v>
          </cell>
        </row>
        <row r="2079">
          <cell r="A2079" t="str">
            <v>08B0</v>
          </cell>
        </row>
        <row r="2080">
          <cell r="A2080" t="str">
            <v>08B1</v>
          </cell>
        </row>
        <row r="2081">
          <cell r="A2081" t="str">
            <v>08B2</v>
          </cell>
        </row>
        <row r="2082">
          <cell r="A2082" t="str">
            <v>08B3</v>
          </cell>
        </row>
        <row r="2083">
          <cell r="A2083" t="str">
            <v>08B4</v>
          </cell>
        </row>
        <row r="2084">
          <cell r="A2084" t="str">
            <v>08B5</v>
          </cell>
        </row>
        <row r="2085">
          <cell r="A2085" t="str">
            <v>08B6</v>
          </cell>
        </row>
        <row r="2086">
          <cell r="A2086" t="str">
            <v>08B7</v>
          </cell>
        </row>
        <row r="2087">
          <cell r="A2087" t="str">
            <v>08B8</v>
          </cell>
        </row>
        <row r="2088">
          <cell r="A2088" t="str">
            <v>08B9</v>
          </cell>
        </row>
        <row r="2089">
          <cell r="A2089" t="str">
            <v>0900</v>
          </cell>
        </row>
        <row r="2090">
          <cell r="A2090" t="str">
            <v>0901</v>
          </cell>
        </row>
        <row r="2091">
          <cell r="A2091" t="str">
            <v>0902</v>
          </cell>
        </row>
        <row r="2092">
          <cell r="A2092" t="str">
            <v>0903</v>
          </cell>
        </row>
        <row r="2093">
          <cell r="A2093" t="str">
            <v>0904</v>
          </cell>
        </row>
        <row r="2094">
          <cell r="A2094" t="str">
            <v>0905</v>
          </cell>
        </row>
        <row r="2095">
          <cell r="A2095" t="str">
            <v>0906</v>
          </cell>
        </row>
        <row r="2096">
          <cell r="A2096" t="str">
            <v>0907</v>
          </cell>
        </row>
        <row r="2097">
          <cell r="A2097" t="str">
            <v>0908</v>
          </cell>
        </row>
        <row r="2098">
          <cell r="A2098" t="str">
            <v>0909</v>
          </cell>
        </row>
        <row r="2099">
          <cell r="A2099" t="str">
            <v>090A</v>
          </cell>
        </row>
        <row r="2100">
          <cell r="A2100" t="str">
            <v>090B</v>
          </cell>
        </row>
        <row r="2101">
          <cell r="A2101" t="str">
            <v>090C</v>
          </cell>
        </row>
        <row r="2102">
          <cell r="A2102" t="str">
            <v>090D</v>
          </cell>
        </row>
        <row r="2103">
          <cell r="A2103" t="str">
            <v>0910</v>
          </cell>
        </row>
        <row r="2104">
          <cell r="A2104" t="str">
            <v>0911</v>
          </cell>
        </row>
        <row r="2105">
          <cell r="A2105" t="str">
            <v>0912</v>
          </cell>
        </row>
        <row r="2106">
          <cell r="A2106" t="str">
            <v>0913</v>
          </cell>
        </row>
        <row r="2107">
          <cell r="A2107" t="str">
            <v>0914</v>
          </cell>
        </row>
        <row r="2108">
          <cell r="A2108" t="str">
            <v>0915</v>
          </cell>
        </row>
        <row r="2109">
          <cell r="A2109" t="str">
            <v>0916</v>
          </cell>
        </row>
        <row r="2110">
          <cell r="A2110" t="str">
            <v>0917</v>
          </cell>
        </row>
        <row r="2111">
          <cell r="A2111" t="str">
            <v>0918</v>
          </cell>
        </row>
        <row r="2112">
          <cell r="A2112" t="str">
            <v>0919</v>
          </cell>
        </row>
        <row r="2113">
          <cell r="A2113" t="str">
            <v>0920</v>
          </cell>
        </row>
        <row r="2114">
          <cell r="A2114" t="str">
            <v>0921</v>
          </cell>
        </row>
        <row r="2115">
          <cell r="A2115" t="str">
            <v>0922</v>
          </cell>
        </row>
        <row r="2116">
          <cell r="A2116" t="str">
            <v>0923</v>
          </cell>
        </row>
        <row r="2117">
          <cell r="A2117" t="str">
            <v>0924</v>
          </cell>
        </row>
        <row r="2118">
          <cell r="A2118" t="str">
            <v>0925</v>
          </cell>
        </row>
        <row r="2119">
          <cell r="A2119" t="str">
            <v>0926</v>
          </cell>
        </row>
        <row r="2120">
          <cell r="A2120" t="str">
            <v>0927</v>
          </cell>
        </row>
        <row r="2121">
          <cell r="A2121" t="str">
            <v>0928</v>
          </cell>
        </row>
        <row r="2122">
          <cell r="A2122" t="str">
            <v>0929</v>
          </cell>
        </row>
        <row r="2123">
          <cell r="A2123" t="str">
            <v>092A</v>
          </cell>
        </row>
        <row r="2124">
          <cell r="A2124" t="str">
            <v>092B</v>
          </cell>
        </row>
        <row r="2125">
          <cell r="A2125" t="str">
            <v>092C</v>
          </cell>
        </row>
        <row r="2126">
          <cell r="A2126" t="str">
            <v>092D</v>
          </cell>
        </row>
        <row r="2127">
          <cell r="A2127" t="str">
            <v>0930</v>
          </cell>
        </row>
        <row r="2128">
          <cell r="A2128" t="str">
            <v>0931</v>
          </cell>
        </row>
        <row r="2129">
          <cell r="A2129" t="str">
            <v>0932</v>
          </cell>
        </row>
        <row r="2130">
          <cell r="A2130" t="str">
            <v>0933</v>
          </cell>
        </row>
        <row r="2131">
          <cell r="A2131" t="str">
            <v>0934</v>
          </cell>
        </row>
        <row r="2132">
          <cell r="A2132" t="str">
            <v>0935</v>
          </cell>
        </row>
        <row r="2133">
          <cell r="A2133" t="str">
            <v>0936</v>
          </cell>
        </row>
        <row r="2134">
          <cell r="A2134" t="str">
            <v>0937</v>
          </cell>
        </row>
        <row r="2135">
          <cell r="A2135" t="str">
            <v>0938</v>
          </cell>
        </row>
        <row r="2136">
          <cell r="A2136" t="str">
            <v>0939</v>
          </cell>
        </row>
        <row r="2137">
          <cell r="A2137" t="str">
            <v>0940</v>
          </cell>
        </row>
        <row r="2138">
          <cell r="A2138" t="str">
            <v>0941</v>
          </cell>
        </row>
        <row r="2139">
          <cell r="A2139" t="str">
            <v>0942</v>
          </cell>
        </row>
        <row r="2140">
          <cell r="A2140" t="str">
            <v>0943</v>
          </cell>
        </row>
        <row r="2141">
          <cell r="A2141" t="str">
            <v>0944</v>
          </cell>
        </row>
        <row r="2142">
          <cell r="A2142" t="str">
            <v>0945</v>
          </cell>
        </row>
        <row r="2143">
          <cell r="A2143" t="str">
            <v>0946</v>
          </cell>
        </row>
        <row r="2144">
          <cell r="A2144" t="str">
            <v>0947</v>
          </cell>
        </row>
        <row r="2145">
          <cell r="A2145" t="str">
            <v>0948</v>
          </cell>
        </row>
        <row r="2146">
          <cell r="A2146" t="str">
            <v>0949</v>
          </cell>
        </row>
        <row r="2147">
          <cell r="A2147" t="str">
            <v>0950</v>
          </cell>
        </row>
        <row r="2148">
          <cell r="A2148" t="str">
            <v>0951</v>
          </cell>
        </row>
        <row r="2149">
          <cell r="A2149" t="str">
            <v>0952</v>
          </cell>
        </row>
        <row r="2150">
          <cell r="A2150" t="str">
            <v>0953</v>
          </cell>
        </row>
        <row r="2151">
          <cell r="A2151" t="str">
            <v>0954</v>
          </cell>
        </row>
        <row r="2152">
          <cell r="A2152" t="str">
            <v>0955</v>
          </cell>
        </row>
        <row r="2153">
          <cell r="A2153" t="str">
            <v>0956</v>
          </cell>
        </row>
        <row r="2154">
          <cell r="A2154" t="str">
            <v>0957</v>
          </cell>
        </row>
        <row r="2155">
          <cell r="A2155" t="str">
            <v>0958</v>
          </cell>
        </row>
        <row r="2156">
          <cell r="A2156" t="str">
            <v>0959</v>
          </cell>
        </row>
        <row r="2157">
          <cell r="A2157" t="str">
            <v>0960</v>
          </cell>
        </row>
        <row r="2158">
          <cell r="A2158" t="str">
            <v>0961</v>
          </cell>
        </row>
        <row r="2159">
          <cell r="A2159" t="str">
            <v>0962</v>
          </cell>
        </row>
        <row r="2160">
          <cell r="A2160" t="str">
            <v>0963</v>
          </cell>
        </row>
        <row r="2161">
          <cell r="A2161" t="str">
            <v>0964</v>
          </cell>
        </row>
        <row r="2162">
          <cell r="A2162" t="str">
            <v>0965</v>
          </cell>
        </row>
        <row r="2163">
          <cell r="A2163" t="str">
            <v>0966</v>
          </cell>
        </row>
        <row r="2164">
          <cell r="A2164" t="str">
            <v>0967</v>
          </cell>
        </row>
        <row r="2165">
          <cell r="A2165" t="str">
            <v>0968</v>
          </cell>
        </row>
        <row r="2166">
          <cell r="A2166" t="str">
            <v>0969</v>
          </cell>
        </row>
        <row r="2167">
          <cell r="A2167" t="str">
            <v>0970</v>
          </cell>
        </row>
        <row r="2168">
          <cell r="A2168" t="str">
            <v>0971</v>
          </cell>
        </row>
        <row r="2169">
          <cell r="A2169" t="str">
            <v>0972</v>
          </cell>
        </row>
        <row r="2170">
          <cell r="A2170" t="str">
            <v>0973</v>
          </cell>
        </row>
        <row r="2171">
          <cell r="A2171" t="str">
            <v>0974</v>
          </cell>
        </row>
        <row r="2172">
          <cell r="A2172" t="str">
            <v>0975</v>
          </cell>
        </row>
        <row r="2173">
          <cell r="A2173" t="str">
            <v>0976</v>
          </cell>
        </row>
        <row r="2174">
          <cell r="A2174" t="str">
            <v>0977</v>
          </cell>
        </row>
        <row r="2175">
          <cell r="A2175" t="str">
            <v>0978</v>
          </cell>
        </row>
        <row r="2176">
          <cell r="A2176" t="str">
            <v>0979</v>
          </cell>
        </row>
        <row r="2177">
          <cell r="A2177" t="str">
            <v>097A</v>
          </cell>
        </row>
        <row r="2178">
          <cell r="A2178" t="str">
            <v>097B</v>
          </cell>
        </row>
        <row r="2179">
          <cell r="A2179" t="str">
            <v>097C</v>
          </cell>
        </row>
        <row r="2180">
          <cell r="A2180" t="str">
            <v>097D</v>
          </cell>
        </row>
        <row r="2181">
          <cell r="A2181" t="str">
            <v>097E</v>
          </cell>
        </row>
        <row r="2182">
          <cell r="A2182" t="str">
            <v>097F</v>
          </cell>
        </row>
        <row r="2183">
          <cell r="A2183" t="str">
            <v>0980</v>
          </cell>
        </row>
        <row r="2184">
          <cell r="A2184" t="str">
            <v>0981</v>
          </cell>
        </row>
        <row r="2185">
          <cell r="A2185" t="str">
            <v>0982</v>
          </cell>
        </row>
        <row r="2186">
          <cell r="A2186" t="str">
            <v>0983</v>
          </cell>
        </row>
        <row r="2187">
          <cell r="A2187" t="str">
            <v>0984</v>
          </cell>
        </row>
        <row r="2188">
          <cell r="A2188" t="str">
            <v>0985</v>
          </cell>
        </row>
        <row r="2189">
          <cell r="A2189" t="str">
            <v>0986</v>
          </cell>
        </row>
        <row r="2190">
          <cell r="A2190" t="str">
            <v>0987</v>
          </cell>
        </row>
        <row r="2191">
          <cell r="A2191" t="str">
            <v>0988</v>
          </cell>
        </row>
        <row r="2192">
          <cell r="A2192" t="str">
            <v>0989</v>
          </cell>
        </row>
        <row r="2193">
          <cell r="A2193" t="str">
            <v>0990</v>
          </cell>
        </row>
        <row r="2194">
          <cell r="A2194" t="str">
            <v>0991</v>
          </cell>
        </row>
        <row r="2195">
          <cell r="A2195" t="str">
            <v>0992</v>
          </cell>
        </row>
        <row r="2196">
          <cell r="A2196" t="str">
            <v>0993</v>
          </cell>
        </row>
        <row r="2197">
          <cell r="A2197" t="str">
            <v>0994</v>
          </cell>
        </row>
        <row r="2198">
          <cell r="A2198" t="str">
            <v>0995</v>
          </cell>
        </row>
        <row r="2199">
          <cell r="A2199" t="str">
            <v>0996</v>
          </cell>
        </row>
        <row r="2200">
          <cell r="A2200" t="str">
            <v>0997</v>
          </cell>
        </row>
        <row r="2201">
          <cell r="A2201" t="str">
            <v>0998</v>
          </cell>
        </row>
        <row r="2202">
          <cell r="A2202" t="str">
            <v>0999</v>
          </cell>
        </row>
        <row r="2203">
          <cell r="A2203" t="str">
            <v>099A</v>
          </cell>
        </row>
        <row r="2204">
          <cell r="A2204" t="str">
            <v>099B</v>
          </cell>
        </row>
        <row r="2205">
          <cell r="A2205" t="str">
            <v>099C</v>
          </cell>
        </row>
        <row r="2206">
          <cell r="A2206" t="str">
            <v>099D</v>
          </cell>
        </row>
        <row r="2207">
          <cell r="A2207" t="str">
            <v>099E</v>
          </cell>
        </row>
        <row r="2208">
          <cell r="A2208" t="str">
            <v>099F</v>
          </cell>
        </row>
        <row r="2209">
          <cell r="A2209" t="str">
            <v>09A0</v>
          </cell>
        </row>
        <row r="2210">
          <cell r="A2210" t="str">
            <v>09A1</v>
          </cell>
        </row>
        <row r="2211">
          <cell r="A2211" t="str">
            <v>0A00</v>
          </cell>
        </row>
        <row r="2212">
          <cell r="A2212" t="str">
            <v>0A01</v>
          </cell>
        </row>
        <row r="2213">
          <cell r="A2213" t="str">
            <v>0A02</v>
          </cell>
        </row>
        <row r="2214">
          <cell r="A2214" t="str">
            <v>0A03</v>
          </cell>
        </row>
        <row r="2215">
          <cell r="A2215" t="str">
            <v>0A04</v>
          </cell>
        </row>
        <row r="2216">
          <cell r="A2216" t="str">
            <v>0A05</v>
          </cell>
        </row>
        <row r="2217">
          <cell r="A2217" t="str">
            <v>0A06</v>
          </cell>
        </row>
        <row r="2218">
          <cell r="A2218" t="str">
            <v>0A07</v>
          </cell>
        </row>
        <row r="2219">
          <cell r="A2219" t="str">
            <v>0A08</v>
          </cell>
        </row>
        <row r="2220">
          <cell r="A2220" t="str">
            <v>0A09</v>
          </cell>
        </row>
        <row r="2221">
          <cell r="A2221" t="str">
            <v>0A0A</v>
          </cell>
        </row>
        <row r="2222">
          <cell r="A2222" t="str">
            <v>0A0B</v>
          </cell>
        </row>
        <row r="2223">
          <cell r="A2223" t="str">
            <v>0A0C</v>
          </cell>
        </row>
        <row r="2224">
          <cell r="A2224" t="str">
            <v>0A0D</v>
          </cell>
        </row>
        <row r="2225">
          <cell r="A2225" t="str">
            <v>0A0E</v>
          </cell>
        </row>
        <row r="2226">
          <cell r="A2226" t="str">
            <v>0A0F</v>
          </cell>
        </row>
        <row r="2227">
          <cell r="A2227" t="str">
            <v>0A10</v>
          </cell>
        </row>
        <row r="2228">
          <cell r="A2228" t="str">
            <v>0A11</v>
          </cell>
        </row>
        <row r="2229">
          <cell r="A2229" t="str">
            <v>0A12</v>
          </cell>
        </row>
        <row r="2230">
          <cell r="A2230" t="str">
            <v>0A13</v>
          </cell>
        </row>
        <row r="2231">
          <cell r="A2231" t="str">
            <v>0A14</v>
          </cell>
        </row>
        <row r="2232">
          <cell r="A2232" t="str">
            <v>0A15</v>
          </cell>
        </row>
        <row r="2233">
          <cell r="A2233" t="str">
            <v>0A16</v>
          </cell>
        </row>
        <row r="2234">
          <cell r="A2234" t="str">
            <v>0A17</v>
          </cell>
        </row>
        <row r="2235">
          <cell r="A2235" t="str">
            <v>0A18</v>
          </cell>
        </row>
        <row r="2236">
          <cell r="A2236" t="str">
            <v>0A19</v>
          </cell>
        </row>
        <row r="2237">
          <cell r="A2237" t="str">
            <v>0A1A</v>
          </cell>
        </row>
        <row r="2238">
          <cell r="A2238" t="str">
            <v>0A1B</v>
          </cell>
        </row>
        <row r="2239">
          <cell r="A2239" t="str">
            <v>0A1C</v>
          </cell>
        </row>
        <row r="2240">
          <cell r="A2240" t="str">
            <v>0A1D</v>
          </cell>
        </row>
        <row r="2241">
          <cell r="A2241" t="str">
            <v>0A1E</v>
          </cell>
        </row>
        <row r="2242">
          <cell r="A2242" t="str">
            <v>0A1F</v>
          </cell>
        </row>
        <row r="2243">
          <cell r="A2243" t="str">
            <v>0A20</v>
          </cell>
        </row>
        <row r="2244">
          <cell r="A2244" t="str">
            <v>0A21</v>
          </cell>
        </row>
        <row r="2245">
          <cell r="A2245" t="str">
            <v>0A22</v>
          </cell>
        </row>
        <row r="2246">
          <cell r="A2246" t="str">
            <v>0A23</v>
          </cell>
        </row>
        <row r="2247">
          <cell r="A2247" t="str">
            <v>0A24</v>
          </cell>
        </row>
        <row r="2248">
          <cell r="A2248" t="str">
            <v>0A25</v>
          </cell>
        </row>
        <row r="2249">
          <cell r="A2249" t="str">
            <v>0A26</v>
          </cell>
        </row>
        <row r="2250">
          <cell r="A2250" t="str">
            <v>0A27</v>
          </cell>
        </row>
        <row r="2251">
          <cell r="A2251" t="str">
            <v>0A28</v>
          </cell>
        </row>
        <row r="2252">
          <cell r="A2252" t="str">
            <v>0A29</v>
          </cell>
        </row>
        <row r="2253">
          <cell r="A2253" t="str">
            <v>0A2A</v>
          </cell>
        </row>
        <row r="2254">
          <cell r="A2254" t="str">
            <v>0A2B</v>
          </cell>
        </row>
        <row r="2255">
          <cell r="A2255" t="str">
            <v>0A2C</v>
          </cell>
        </row>
        <row r="2256">
          <cell r="A2256" t="str">
            <v>0A2D</v>
          </cell>
        </row>
        <row r="2257">
          <cell r="A2257" t="str">
            <v>0A2E</v>
          </cell>
        </row>
        <row r="2258">
          <cell r="A2258" t="str">
            <v>0A2F</v>
          </cell>
        </row>
        <row r="2259">
          <cell r="A2259" t="str">
            <v>0A30</v>
          </cell>
        </row>
        <row r="2260">
          <cell r="A2260" t="str">
            <v>0A31</v>
          </cell>
        </row>
        <row r="2261">
          <cell r="A2261" t="str">
            <v>0A32</v>
          </cell>
        </row>
        <row r="2262">
          <cell r="A2262" t="str">
            <v>0A33</v>
          </cell>
        </row>
        <row r="2263">
          <cell r="A2263" t="str">
            <v>0A34</v>
          </cell>
        </row>
        <row r="2264">
          <cell r="A2264" t="str">
            <v>0A35</v>
          </cell>
        </row>
        <row r="2265">
          <cell r="A2265" t="str">
            <v>0A36</v>
          </cell>
        </row>
        <row r="2266">
          <cell r="A2266" t="str">
            <v>0A37</v>
          </cell>
        </row>
        <row r="2267">
          <cell r="A2267" t="str">
            <v>0A38</v>
          </cell>
        </row>
        <row r="2268">
          <cell r="A2268" t="str">
            <v>0A39</v>
          </cell>
        </row>
        <row r="2269">
          <cell r="A2269" t="str">
            <v>0A3A</v>
          </cell>
        </row>
        <row r="2270">
          <cell r="A2270" t="str">
            <v>0A3B</v>
          </cell>
        </row>
        <row r="2271">
          <cell r="A2271" t="str">
            <v>0A3C</v>
          </cell>
        </row>
        <row r="2272">
          <cell r="A2272" t="str">
            <v>0A3D</v>
          </cell>
        </row>
        <row r="2273">
          <cell r="A2273" t="str">
            <v>0A3E</v>
          </cell>
        </row>
        <row r="2274">
          <cell r="A2274" t="str">
            <v>0A3F</v>
          </cell>
        </row>
        <row r="2275">
          <cell r="A2275" t="str">
            <v>0A40</v>
          </cell>
        </row>
        <row r="2276">
          <cell r="A2276" t="str">
            <v>0A41</v>
          </cell>
        </row>
        <row r="2277">
          <cell r="A2277" t="str">
            <v>0A42</v>
          </cell>
        </row>
        <row r="2278">
          <cell r="A2278" t="str">
            <v>0A43</v>
          </cell>
        </row>
        <row r="2279">
          <cell r="A2279" t="str">
            <v>0A44</v>
          </cell>
        </row>
        <row r="2280">
          <cell r="A2280" t="str">
            <v>0A45</v>
          </cell>
        </row>
        <row r="2281">
          <cell r="A2281" t="str">
            <v>0A46</v>
          </cell>
        </row>
        <row r="2282">
          <cell r="A2282" t="str">
            <v>0A47</v>
          </cell>
        </row>
        <row r="2283">
          <cell r="A2283" t="str">
            <v>0A48</v>
          </cell>
        </row>
        <row r="2284">
          <cell r="A2284" t="str">
            <v>0A49</v>
          </cell>
        </row>
        <row r="2285">
          <cell r="A2285" t="str">
            <v>0A4A</v>
          </cell>
        </row>
        <row r="2286">
          <cell r="A2286" t="str">
            <v>0A4B</v>
          </cell>
        </row>
        <row r="2287">
          <cell r="A2287" t="str">
            <v>0A4C</v>
          </cell>
        </row>
        <row r="2288">
          <cell r="A2288" t="str">
            <v>0A4D</v>
          </cell>
        </row>
        <row r="2289">
          <cell r="A2289" t="str">
            <v>0A4E</v>
          </cell>
        </row>
        <row r="2290">
          <cell r="A2290" t="str">
            <v>0A4F</v>
          </cell>
        </row>
        <row r="2291">
          <cell r="A2291" t="str">
            <v>0A50</v>
          </cell>
        </row>
        <row r="2292">
          <cell r="A2292" t="str">
            <v>0A51</v>
          </cell>
        </row>
        <row r="2293">
          <cell r="A2293" t="str">
            <v>0A52</v>
          </cell>
        </row>
        <row r="2294">
          <cell r="A2294" t="str">
            <v>0A53</v>
          </cell>
        </row>
        <row r="2295">
          <cell r="A2295" t="str">
            <v>0A54</v>
          </cell>
        </row>
        <row r="2296">
          <cell r="A2296" t="str">
            <v>0A55</v>
          </cell>
        </row>
        <row r="2297">
          <cell r="A2297" t="str">
            <v>0A56</v>
          </cell>
        </row>
        <row r="2298">
          <cell r="A2298" t="str">
            <v>0A57</v>
          </cell>
        </row>
        <row r="2299">
          <cell r="A2299" t="str">
            <v>0A58</v>
          </cell>
        </row>
        <row r="2300">
          <cell r="A2300" t="str">
            <v>0A59</v>
          </cell>
        </row>
        <row r="2301">
          <cell r="A2301" t="str">
            <v>0A5A</v>
          </cell>
        </row>
        <row r="2302">
          <cell r="A2302" t="str">
            <v>0A5B</v>
          </cell>
        </row>
        <row r="2303">
          <cell r="A2303" t="str">
            <v>0A5C</v>
          </cell>
        </row>
        <row r="2304">
          <cell r="A2304" t="str">
            <v>0A5D</v>
          </cell>
        </row>
        <row r="2305">
          <cell r="A2305" t="str">
            <v>0A5E</v>
          </cell>
        </row>
        <row r="2306">
          <cell r="A2306" t="str">
            <v>0A5F</v>
          </cell>
        </row>
        <row r="2307">
          <cell r="A2307" t="str">
            <v>0A60</v>
          </cell>
        </row>
        <row r="2308">
          <cell r="A2308" t="str">
            <v>0A61</v>
          </cell>
        </row>
        <row r="2309">
          <cell r="A2309" t="str">
            <v>0A62</v>
          </cell>
        </row>
        <row r="2310">
          <cell r="A2310" t="str">
            <v>0A63</v>
          </cell>
        </row>
        <row r="2311">
          <cell r="A2311" t="str">
            <v>0A64</v>
          </cell>
        </row>
        <row r="2312">
          <cell r="A2312" t="str">
            <v>0A65</v>
          </cell>
        </row>
        <row r="2313">
          <cell r="A2313" t="str">
            <v>0A66</v>
          </cell>
        </row>
        <row r="2314">
          <cell r="A2314" t="str">
            <v>0A67</v>
          </cell>
        </row>
        <row r="2315">
          <cell r="A2315" t="str">
            <v>0A68</v>
          </cell>
        </row>
        <row r="2316">
          <cell r="A2316" t="str">
            <v>0A69</v>
          </cell>
        </row>
        <row r="2317">
          <cell r="A2317" t="str">
            <v>0A6A</v>
          </cell>
        </row>
        <row r="2318">
          <cell r="A2318" t="str">
            <v>0A6B</v>
          </cell>
        </row>
        <row r="2319">
          <cell r="A2319" t="str">
            <v>0A6C</v>
          </cell>
        </row>
        <row r="2320">
          <cell r="A2320" t="str">
            <v>0A6D</v>
          </cell>
        </row>
        <row r="2321">
          <cell r="A2321" t="str">
            <v>0A6E</v>
          </cell>
        </row>
        <row r="2322">
          <cell r="A2322" t="str">
            <v>0A6F</v>
          </cell>
        </row>
        <row r="2323">
          <cell r="A2323" t="str">
            <v>0A70</v>
          </cell>
        </row>
        <row r="2324">
          <cell r="A2324" t="str">
            <v>0A71</v>
          </cell>
        </row>
        <row r="2325">
          <cell r="A2325" t="str">
            <v>0A72</v>
          </cell>
        </row>
        <row r="2326">
          <cell r="A2326" t="str">
            <v>0A73</v>
          </cell>
        </row>
        <row r="2327">
          <cell r="A2327" t="str">
            <v>0A74</v>
          </cell>
        </row>
        <row r="2328">
          <cell r="A2328" t="str">
            <v>0A75</v>
          </cell>
        </row>
        <row r="2329">
          <cell r="A2329" t="str">
            <v>0A76</v>
          </cell>
        </row>
        <row r="2330">
          <cell r="A2330" t="str">
            <v>0A77</v>
          </cell>
        </row>
        <row r="2331">
          <cell r="A2331" t="str">
            <v>0A78</v>
          </cell>
        </row>
        <row r="2332">
          <cell r="A2332" t="str">
            <v>0A79</v>
          </cell>
        </row>
        <row r="2333">
          <cell r="A2333" t="str">
            <v>0A7A</v>
          </cell>
        </row>
        <row r="2334">
          <cell r="A2334" t="str">
            <v>0A7B</v>
          </cell>
        </row>
        <row r="2335">
          <cell r="A2335" t="str">
            <v>0A7C</v>
          </cell>
        </row>
        <row r="2336">
          <cell r="A2336" t="str">
            <v>0A7D</v>
          </cell>
        </row>
        <row r="2337">
          <cell r="A2337" t="str">
            <v>0A7E</v>
          </cell>
        </row>
        <row r="2338">
          <cell r="A2338" t="str">
            <v>0A7F</v>
          </cell>
        </row>
        <row r="2339">
          <cell r="A2339" t="str">
            <v>0A80</v>
          </cell>
        </row>
        <row r="2340">
          <cell r="A2340" t="str">
            <v>0A81</v>
          </cell>
        </row>
        <row r="2341">
          <cell r="A2341" t="str">
            <v>0A82</v>
          </cell>
        </row>
        <row r="2342">
          <cell r="A2342" t="str">
            <v>0A83</v>
          </cell>
        </row>
        <row r="2343">
          <cell r="A2343" t="str">
            <v>0A84</v>
          </cell>
        </row>
        <row r="2344">
          <cell r="A2344" t="str">
            <v>0A85</v>
          </cell>
        </row>
        <row r="2345">
          <cell r="A2345" t="str">
            <v>0A86</v>
          </cell>
        </row>
        <row r="2346">
          <cell r="A2346" t="str">
            <v>0A87</v>
          </cell>
        </row>
        <row r="2347">
          <cell r="A2347" t="str">
            <v>0A88</v>
          </cell>
        </row>
        <row r="2348">
          <cell r="A2348" t="str">
            <v>0A89</v>
          </cell>
        </row>
        <row r="2349">
          <cell r="A2349" t="str">
            <v>0A8A</v>
          </cell>
        </row>
        <row r="2350">
          <cell r="A2350" t="str">
            <v>0A8B</v>
          </cell>
        </row>
        <row r="2351">
          <cell r="A2351" t="str">
            <v>0A8C</v>
          </cell>
        </row>
        <row r="2352">
          <cell r="A2352" t="str">
            <v>0A8D</v>
          </cell>
        </row>
        <row r="2353">
          <cell r="A2353" t="str">
            <v>0A8E</v>
          </cell>
        </row>
        <row r="2354">
          <cell r="A2354" t="str">
            <v>0A8F</v>
          </cell>
        </row>
        <row r="2355">
          <cell r="A2355" t="str">
            <v>0A90</v>
          </cell>
        </row>
        <row r="2356">
          <cell r="A2356" t="str">
            <v>0A91</v>
          </cell>
        </row>
        <row r="2357">
          <cell r="A2357" t="str">
            <v>0A92</v>
          </cell>
        </row>
        <row r="2358">
          <cell r="A2358" t="str">
            <v>0A93</v>
          </cell>
        </row>
        <row r="2359">
          <cell r="A2359" t="str">
            <v>0A94</v>
          </cell>
        </row>
        <row r="2360">
          <cell r="A2360" t="str">
            <v>0A95</v>
          </cell>
        </row>
        <row r="2361">
          <cell r="A2361" t="str">
            <v>0A96</v>
          </cell>
        </row>
        <row r="2362">
          <cell r="A2362" t="str">
            <v>0A97</v>
          </cell>
        </row>
        <row r="2363">
          <cell r="A2363" t="str">
            <v>0A98</v>
          </cell>
        </row>
        <row r="2364">
          <cell r="A2364" t="str">
            <v>0A99</v>
          </cell>
        </row>
        <row r="2365">
          <cell r="A2365" t="str">
            <v>0A9A</v>
          </cell>
        </row>
        <row r="2366">
          <cell r="A2366" t="str">
            <v>0A9B</v>
          </cell>
        </row>
        <row r="2367">
          <cell r="A2367" t="str">
            <v>0A9C</v>
          </cell>
        </row>
        <row r="2368">
          <cell r="A2368" t="str">
            <v>0A9D</v>
          </cell>
        </row>
        <row r="2369">
          <cell r="A2369" t="str">
            <v>0A9E</v>
          </cell>
        </row>
        <row r="2370">
          <cell r="A2370" t="str">
            <v>0A9F</v>
          </cell>
        </row>
        <row r="2371">
          <cell r="A2371" t="str">
            <v>0AA0</v>
          </cell>
        </row>
        <row r="2372">
          <cell r="A2372" t="str">
            <v>0AA1</v>
          </cell>
        </row>
        <row r="2373">
          <cell r="A2373" t="str">
            <v>0AA2</v>
          </cell>
        </row>
        <row r="2374">
          <cell r="A2374" t="str">
            <v>0AA3</v>
          </cell>
        </row>
        <row r="2375">
          <cell r="A2375" t="str">
            <v>0AA4</v>
          </cell>
        </row>
        <row r="2376">
          <cell r="A2376" t="str">
            <v>0AA5</v>
          </cell>
        </row>
        <row r="2377">
          <cell r="A2377" t="str">
            <v>0AA6</v>
          </cell>
        </row>
        <row r="2378">
          <cell r="A2378" t="str">
            <v>0AA7</v>
          </cell>
        </row>
        <row r="2379">
          <cell r="A2379" t="str">
            <v>0AA8</v>
          </cell>
        </row>
        <row r="2380">
          <cell r="A2380" t="str">
            <v>0AA9</v>
          </cell>
        </row>
        <row r="2381">
          <cell r="A2381" t="str">
            <v>0AAA</v>
          </cell>
        </row>
        <row r="2382">
          <cell r="A2382" t="str">
            <v>0AAB</v>
          </cell>
        </row>
        <row r="2383">
          <cell r="A2383" t="str">
            <v>0AAC</v>
          </cell>
        </row>
        <row r="2384">
          <cell r="A2384" t="str">
            <v>0AAD</v>
          </cell>
        </row>
        <row r="2385">
          <cell r="A2385" t="str">
            <v>0AAE</v>
          </cell>
        </row>
        <row r="2386">
          <cell r="A2386" t="str">
            <v>0AAF</v>
          </cell>
        </row>
        <row r="2387">
          <cell r="A2387" t="str">
            <v>0AB0</v>
          </cell>
        </row>
        <row r="2388">
          <cell r="A2388" t="str">
            <v>0AB1</v>
          </cell>
        </row>
        <row r="2389">
          <cell r="A2389" t="str">
            <v>0AB2</v>
          </cell>
        </row>
        <row r="2390">
          <cell r="A2390" t="str">
            <v>0AB3</v>
          </cell>
        </row>
        <row r="2391">
          <cell r="A2391" t="str">
            <v>0AB4</v>
          </cell>
        </row>
        <row r="2392">
          <cell r="A2392" t="str">
            <v>0AB5</v>
          </cell>
        </row>
        <row r="2393">
          <cell r="A2393" t="str">
            <v>0AB6</v>
          </cell>
        </row>
        <row r="2394">
          <cell r="A2394" t="str">
            <v>0AB7</v>
          </cell>
        </row>
        <row r="2395">
          <cell r="A2395" t="str">
            <v>0AB8</v>
          </cell>
        </row>
        <row r="2396">
          <cell r="A2396" t="str">
            <v>0AB9</v>
          </cell>
        </row>
        <row r="2397">
          <cell r="A2397" t="str">
            <v>0ABA</v>
          </cell>
        </row>
        <row r="2398">
          <cell r="A2398" t="str">
            <v>0ABB</v>
          </cell>
        </row>
        <row r="2399">
          <cell r="A2399" t="str">
            <v>0ABC</v>
          </cell>
        </row>
        <row r="2400">
          <cell r="A2400" t="str">
            <v>0ABD</v>
          </cell>
        </row>
        <row r="2401">
          <cell r="A2401" t="str">
            <v>0ABE</v>
          </cell>
        </row>
        <row r="2402">
          <cell r="A2402" t="str">
            <v>0ABF</v>
          </cell>
        </row>
        <row r="2403">
          <cell r="A2403" t="str">
            <v>0AC0</v>
          </cell>
        </row>
        <row r="2404">
          <cell r="A2404" t="str">
            <v>0AC1</v>
          </cell>
        </row>
        <row r="2405">
          <cell r="A2405" t="str">
            <v>0AC2</v>
          </cell>
        </row>
        <row r="2406">
          <cell r="A2406" t="str">
            <v>0AC3</v>
          </cell>
        </row>
        <row r="2407">
          <cell r="A2407" t="str">
            <v>0AC4</v>
          </cell>
        </row>
        <row r="2408">
          <cell r="A2408" t="str">
            <v>0AC5</v>
          </cell>
        </row>
        <row r="2409">
          <cell r="A2409" t="str">
            <v>0AC6</v>
          </cell>
        </row>
        <row r="2410">
          <cell r="A2410" t="str">
            <v>0AC7</v>
          </cell>
        </row>
        <row r="2411">
          <cell r="A2411" t="str">
            <v>0AC8</v>
          </cell>
        </row>
        <row r="2412">
          <cell r="A2412" t="str">
            <v>0AC9</v>
          </cell>
        </row>
        <row r="2413">
          <cell r="A2413" t="str">
            <v>0ACA</v>
          </cell>
        </row>
        <row r="2414">
          <cell r="A2414" t="str">
            <v>0ACB</v>
          </cell>
        </row>
        <row r="2415">
          <cell r="A2415" t="str">
            <v>0ACC</v>
          </cell>
        </row>
        <row r="2416">
          <cell r="A2416" t="str">
            <v>0ACD</v>
          </cell>
        </row>
        <row r="2417">
          <cell r="A2417" t="str">
            <v>0ACE</v>
          </cell>
        </row>
        <row r="2418">
          <cell r="A2418" t="str">
            <v>0ACF</v>
          </cell>
        </row>
        <row r="2419">
          <cell r="A2419" t="str">
            <v>0AD0</v>
          </cell>
        </row>
        <row r="2420">
          <cell r="A2420" t="str">
            <v>0AD1</v>
          </cell>
        </row>
        <row r="2421">
          <cell r="A2421" t="str">
            <v>0AD2</v>
          </cell>
        </row>
        <row r="2422">
          <cell r="A2422" t="str">
            <v>0AD3</v>
          </cell>
        </row>
        <row r="2423">
          <cell r="A2423" t="str">
            <v>0AD4</v>
          </cell>
        </row>
        <row r="2424">
          <cell r="A2424" t="str">
            <v>0AD5</v>
          </cell>
        </row>
        <row r="2425">
          <cell r="A2425" t="str">
            <v>0AD6</v>
          </cell>
        </row>
        <row r="2426">
          <cell r="A2426" t="str">
            <v>0AD7</v>
          </cell>
        </row>
        <row r="2427">
          <cell r="A2427" t="str">
            <v>0AD8</v>
          </cell>
        </row>
        <row r="2428">
          <cell r="A2428" t="str">
            <v>0AD9</v>
          </cell>
        </row>
        <row r="2429">
          <cell r="A2429" t="str">
            <v>0ADA</v>
          </cell>
        </row>
        <row r="2430">
          <cell r="A2430" t="str">
            <v>0ADB</v>
          </cell>
        </row>
        <row r="2431">
          <cell r="A2431" t="str">
            <v>0ADC</v>
          </cell>
        </row>
        <row r="2432">
          <cell r="A2432" t="str">
            <v>0ADD</v>
          </cell>
        </row>
        <row r="2433">
          <cell r="A2433" t="str">
            <v>0ADE</v>
          </cell>
        </row>
        <row r="2434">
          <cell r="A2434" t="str">
            <v>0ADF</v>
          </cell>
        </row>
        <row r="2435">
          <cell r="A2435" t="str">
            <v>0AE0</v>
          </cell>
        </row>
        <row r="2436">
          <cell r="A2436" t="str">
            <v>0AE1</v>
          </cell>
        </row>
        <row r="2437">
          <cell r="A2437" t="str">
            <v>0AE2</v>
          </cell>
        </row>
        <row r="2438">
          <cell r="A2438" t="str">
            <v>0AE3</v>
          </cell>
        </row>
        <row r="2439">
          <cell r="A2439" t="str">
            <v>0AE4</v>
          </cell>
        </row>
        <row r="2440">
          <cell r="A2440" t="str">
            <v>0AE5</v>
          </cell>
        </row>
        <row r="2441">
          <cell r="A2441" t="str">
            <v>0AE6</v>
          </cell>
        </row>
        <row r="2442">
          <cell r="A2442" t="str">
            <v>0AE7</v>
          </cell>
        </row>
        <row r="2443">
          <cell r="A2443" t="str">
            <v>0AE8</v>
          </cell>
        </row>
        <row r="2444">
          <cell r="A2444" t="str">
            <v>0AE9</v>
          </cell>
        </row>
        <row r="2445">
          <cell r="A2445" t="str">
            <v>0AEA</v>
          </cell>
        </row>
        <row r="2446">
          <cell r="A2446" t="str">
            <v>0AEB</v>
          </cell>
        </row>
        <row r="2447">
          <cell r="A2447" t="str">
            <v>0AEC</v>
          </cell>
        </row>
        <row r="2448">
          <cell r="A2448" t="str">
            <v>0AED</v>
          </cell>
        </row>
        <row r="2449">
          <cell r="A2449" t="str">
            <v>0AEE</v>
          </cell>
        </row>
        <row r="2450">
          <cell r="A2450" t="str">
            <v>0AEF</v>
          </cell>
        </row>
        <row r="2451">
          <cell r="A2451" t="str">
            <v>0AF0</v>
          </cell>
        </row>
        <row r="2452">
          <cell r="A2452" t="str">
            <v>0AF1</v>
          </cell>
        </row>
        <row r="2453">
          <cell r="A2453" t="str">
            <v>0AF2</v>
          </cell>
        </row>
        <row r="2454">
          <cell r="A2454" t="str">
            <v>0AF3</v>
          </cell>
        </row>
        <row r="2455">
          <cell r="A2455" t="str">
            <v>0AF4</v>
          </cell>
        </row>
        <row r="2456">
          <cell r="A2456" t="str">
            <v>0AF5</v>
          </cell>
        </row>
        <row r="2457">
          <cell r="A2457" t="str">
            <v>0AF6</v>
          </cell>
        </row>
        <row r="2458">
          <cell r="A2458" t="str">
            <v>0AF7</v>
          </cell>
        </row>
        <row r="2459">
          <cell r="A2459" t="str">
            <v>0AF8</v>
          </cell>
        </row>
        <row r="2460">
          <cell r="A2460" t="str">
            <v>0AF9</v>
          </cell>
        </row>
        <row r="2461">
          <cell r="A2461" t="str">
            <v>0AFA</v>
          </cell>
        </row>
        <row r="2462">
          <cell r="A2462" t="str">
            <v>0AFB</v>
          </cell>
        </row>
        <row r="2463">
          <cell r="A2463" t="str">
            <v>0AFC</v>
          </cell>
        </row>
        <row r="2464">
          <cell r="A2464" t="str">
            <v>0AFD</v>
          </cell>
        </row>
        <row r="2465">
          <cell r="A2465" t="str">
            <v>0AFE</v>
          </cell>
        </row>
        <row r="2466">
          <cell r="A2466" t="str">
            <v>0AFF</v>
          </cell>
        </row>
        <row r="2467">
          <cell r="A2467" t="str">
            <v>0B00</v>
          </cell>
        </row>
        <row r="2468">
          <cell r="A2468" t="str">
            <v>0B01</v>
          </cell>
        </row>
        <row r="2469">
          <cell r="A2469" t="str">
            <v>0B02</v>
          </cell>
        </row>
        <row r="2470">
          <cell r="A2470" t="str">
            <v>0B03</v>
          </cell>
        </row>
        <row r="2471">
          <cell r="A2471" t="str">
            <v>0B04</v>
          </cell>
        </row>
        <row r="2472">
          <cell r="A2472" t="str">
            <v>0B05</v>
          </cell>
        </row>
        <row r="2473">
          <cell r="A2473" t="str">
            <v>0B06</v>
          </cell>
        </row>
        <row r="2474">
          <cell r="A2474" t="str">
            <v>0B07</v>
          </cell>
        </row>
        <row r="2475">
          <cell r="A2475" t="str">
            <v>0B08</v>
          </cell>
        </row>
        <row r="2476">
          <cell r="A2476" t="str">
            <v>0B09</v>
          </cell>
        </row>
        <row r="2477">
          <cell r="A2477" t="str">
            <v>0B0A</v>
          </cell>
        </row>
        <row r="2478">
          <cell r="A2478" t="str">
            <v>0B0B</v>
          </cell>
        </row>
        <row r="2479">
          <cell r="A2479" t="str">
            <v>0B0C</v>
          </cell>
        </row>
        <row r="2480">
          <cell r="A2480" t="str">
            <v>0B0D</v>
          </cell>
        </row>
        <row r="2481">
          <cell r="A2481" t="str">
            <v>0B0E</v>
          </cell>
        </row>
        <row r="2482">
          <cell r="A2482" t="str">
            <v>0B0F</v>
          </cell>
        </row>
        <row r="2483">
          <cell r="A2483" t="str">
            <v>0B10</v>
          </cell>
        </row>
        <row r="2484">
          <cell r="A2484" t="str">
            <v>0B11</v>
          </cell>
        </row>
        <row r="2485">
          <cell r="A2485" t="str">
            <v>0B12</v>
          </cell>
        </row>
        <row r="2486">
          <cell r="A2486" t="str">
            <v>0B13</v>
          </cell>
        </row>
        <row r="2487">
          <cell r="A2487" t="str">
            <v>0B14</v>
          </cell>
        </row>
        <row r="2488">
          <cell r="A2488" t="str">
            <v>0B15</v>
          </cell>
        </row>
        <row r="2489">
          <cell r="A2489" t="str">
            <v>0B16</v>
          </cell>
        </row>
        <row r="2490">
          <cell r="A2490" t="str">
            <v>0B17</v>
          </cell>
        </row>
        <row r="2491">
          <cell r="A2491" t="str">
            <v>0B18</v>
          </cell>
        </row>
        <row r="2492">
          <cell r="A2492" t="str">
            <v>0B19</v>
          </cell>
        </row>
        <row r="2493">
          <cell r="A2493" t="str">
            <v>0B1A</v>
          </cell>
        </row>
        <row r="2494">
          <cell r="A2494" t="str">
            <v>0B1B</v>
          </cell>
        </row>
        <row r="2495">
          <cell r="A2495" t="str">
            <v>0B1C</v>
          </cell>
        </row>
        <row r="2496">
          <cell r="A2496" t="str">
            <v>0B1D</v>
          </cell>
        </row>
        <row r="2497">
          <cell r="A2497" t="str">
            <v>0B1E</v>
          </cell>
        </row>
        <row r="2498">
          <cell r="A2498" t="str">
            <v>0B1F</v>
          </cell>
        </row>
        <row r="2499">
          <cell r="A2499" t="str">
            <v>0B20</v>
          </cell>
        </row>
        <row r="2500">
          <cell r="A2500" t="str">
            <v>0B21</v>
          </cell>
        </row>
        <row r="2501">
          <cell r="A2501" t="str">
            <v>0B22</v>
          </cell>
        </row>
        <row r="2502">
          <cell r="A2502" t="str">
            <v>0B23</v>
          </cell>
        </row>
        <row r="2503">
          <cell r="A2503" t="str">
            <v>0B24</v>
          </cell>
        </row>
        <row r="2504">
          <cell r="A2504" t="str">
            <v>0B25</v>
          </cell>
        </row>
        <row r="2505">
          <cell r="A2505" t="str">
            <v>0B26</v>
          </cell>
        </row>
        <row r="2506">
          <cell r="A2506" t="str">
            <v>0B27</v>
          </cell>
        </row>
        <row r="2507">
          <cell r="A2507" t="str">
            <v>0B28</v>
          </cell>
        </row>
        <row r="2508">
          <cell r="A2508" t="str">
            <v>0B29</v>
          </cell>
        </row>
        <row r="2509">
          <cell r="A2509" t="str">
            <v>0B2A</v>
          </cell>
        </row>
        <row r="2510">
          <cell r="A2510" t="str">
            <v>0B2B</v>
          </cell>
        </row>
        <row r="2511">
          <cell r="A2511" t="str">
            <v>0B2C</v>
          </cell>
        </row>
        <row r="2512">
          <cell r="A2512" t="str">
            <v>0B2D</v>
          </cell>
        </row>
        <row r="2513">
          <cell r="A2513" t="str">
            <v>0B2E</v>
          </cell>
        </row>
        <row r="2514">
          <cell r="A2514" t="str">
            <v>0B2F</v>
          </cell>
        </row>
        <row r="2515">
          <cell r="A2515" t="str">
            <v>0B30</v>
          </cell>
        </row>
        <row r="2516">
          <cell r="A2516" t="str">
            <v>0B31</v>
          </cell>
        </row>
        <row r="2517">
          <cell r="A2517" t="str">
            <v>0B32</v>
          </cell>
        </row>
        <row r="2518">
          <cell r="A2518" t="str">
            <v>0B33</v>
          </cell>
        </row>
        <row r="2519">
          <cell r="A2519" t="str">
            <v>0B34</v>
          </cell>
        </row>
        <row r="2520">
          <cell r="A2520" t="str">
            <v>0B35</v>
          </cell>
        </row>
        <row r="2521">
          <cell r="A2521" t="str">
            <v>0B36</v>
          </cell>
        </row>
        <row r="2522">
          <cell r="A2522" t="str">
            <v>0B37</v>
          </cell>
        </row>
        <row r="2523">
          <cell r="A2523" t="str">
            <v>0B38</v>
          </cell>
        </row>
        <row r="2524">
          <cell r="A2524" t="str">
            <v>0B39</v>
          </cell>
        </row>
        <row r="2525">
          <cell r="A2525" t="str">
            <v>0B3A</v>
          </cell>
        </row>
        <row r="2526">
          <cell r="A2526" t="str">
            <v>0B3B</v>
          </cell>
        </row>
        <row r="2527">
          <cell r="A2527" t="str">
            <v>0B3C</v>
          </cell>
        </row>
        <row r="2528">
          <cell r="A2528" t="str">
            <v>0B3D</v>
          </cell>
        </row>
        <row r="2529">
          <cell r="A2529" t="str">
            <v>0B3E</v>
          </cell>
        </row>
        <row r="2530">
          <cell r="A2530" t="str">
            <v>0B3F</v>
          </cell>
        </row>
        <row r="2531">
          <cell r="A2531" t="str">
            <v>0B40</v>
          </cell>
        </row>
        <row r="2532">
          <cell r="A2532" t="str">
            <v>0B41</v>
          </cell>
        </row>
        <row r="2533">
          <cell r="A2533" t="str">
            <v>0B42</v>
          </cell>
        </row>
        <row r="2534">
          <cell r="A2534" t="str">
            <v>0B43</v>
          </cell>
        </row>
        <row r="2535">
          <cell r="A2535" t="str">
            <v>0B44</v>
          </cell>
        </row>
        <row r="2536">
          <cell r="A2536" t="str">
            <v>0B45</v>
          </cell>
        </row>
        <row r="2537">
          <cell r="A2537" t="str">
            <v>0B46</v>
          </cell>
        </row>
        <row r="2538">
          <cell r="A2538" t="str">
            <v>0B47</v>
          </cell>
        </row>
        <row r="2539">
          <cell r="A2539" t="str">
            <v>0B48</v>
          </cell>
        </row>
        <row r="2540">
          <cell r="A2540" t="str">
            <v>0B49</v>
          </cell>
        </row>
        <row r="2541">
          <cell r="A2541" t="str">
            <v>0B4A</v>
          </cell>
        </row>
        <row r="2542">
          <cell r="A2542" t="str">
            <v>0B4B</v>
          </cell>
        </row>
        <row r="2543">
          <cell r="A2543" t="str">
            <v>0B4C</v>
          </cell>
        </row>
        <row r="2544">
          <cell r="A2544" t="str">
            <v>0B4D</v>
          </cell>
        </row>
        <row r="2545">
          <cell r="A2545" t="str">
            <v>0B4E</v>
          </cell>
        </row>
        <row r="2546">
          <cell r="A2546" t="str">
            <v>0B4F</v>
          </cell>
        </row>
        <row r="2547">
          <cell r="A2547" t="str">
            <v>0B50</v>
          </cell>
        </row>
        <row r="2548">
          <cell r="A2548" t="str">
            <v>0B51</v>
          </cell>
        </row>
        <row r="2549">
          <cell r="A2549" t="str">
            <v>0B52</v>
          </cell>
        </row>
        <row r="2550">
          <cell r="A2550" t="str">
            <v>0B53</v>
          </cell>
        </row>
        <row r="2551">
          <cell r="A2551" t="str">
            <v>0B54</v>
          </cell>
        </row>
        <row r="2552">
          <cell r="A2552" t="str">
            <v>0B55</v>
          </cell>
        </row>
        <row r="2553">
          <cell r="A2553" t="str">
            <v>0B56</v>
          </cell>
        </row>
        <row r="2554">
          <cell r="A2554" t="str">
            <v>0B57</v>
          </cell>
        </row>
        <row r="2555">
          <cell r="A2555" t="str">
            <v>0B58</v>
          </cell>
        </row>
        <row r="2556">
          <cell r="A2556" t="str">
            <v>0B59</v>
          </cell>
        </row>
        <row r="2557">
          <cell r="A2557" t="str">
            <v>0B5A</v>
          </cell>
        </row>
        <row r="2558">
          <cell r="A2558" t="str">
            <v>0B5B</v>
          </cell>
        </row>
        <row r="2559">
          <cell r="A2559" t="str">
            <v>0B5C</v>
          </cell>
        </row>
        <row r="2560">
          <cell r="A2560" t="str">
            <v>0B5D</v>
          </cell>
        </row>
        <row r="2561">
          <cell r="A2561" t="str">
            <v>0B5E</v>
          </cell>
        </row>
        <row r="2562">
          <cell r="A2562" t="str">
            <v>0B5F</v>
          </cell>
        </row>
        <row r="2563">
          <cell r="A2563" t="str">
            <v>0B60</v>
          </cell>
        </row>
        <row r="2564">
          <cell r="A2564" t="str">
            <v>0B61</v>
          </cell>
        </row>
        <row r="2565">
          <cell r="A2565" t="str">
            <v>0B62</v>
          </cell>
        </row>
        <row r="2566">
          <cell r="A2566" t="str">
            <v>0B63</v>
          </cell>
        </row>
        <row r="2567">
          <cell r="A2567" t="str">
            <v>0B64</v>
          </cell>
        </row>
        <row r="2568">
          <cell r="A2568" t="str">
            <v>0B65</v>
          </cell>
        </row>
        <row r="2569">
          <cell r="A2569" t="str">
            <v>0B66</v>
          </cell>
        </row>
        <row r="2570">
          <cell r="A2570" t="str">
            <v>0B67</v>
          </cell>
        </row>
        <row r="2571">
          <cell r="A2571" t="str">
            <v>0B68</v>
          </cell>
        </row>
        <row r="2572">
          <cell r="A2572" t="str">
            <v>0B69</v>
          </cell>
        </row>
        <row r="2573">
          <cell r="A2573" t="str">
            <v>0B6A</v>
          </cell>
        </row>
        <row r="2574">
          <cell r="A2574" t="str">
            <v>0B6B</v>
          </cell>
        </row>
        <row r="2575">
          <cell r="A2575" t="str">
            <v>0B6C</v>
          </cell>
        </row>
        <row r="2576">
          <cell r="A2576" t="str">
            <v>0B6D</v>
          </cell>
        </row>
        <row r="2577">
          <cell r="A2577" t="str">
            <v>0B6E</v>
          </cell>
        </row>
        <row r="2578">
          <cell r="A2578" t="str">
            <v>0B6F</v>
          </cell>
        </row>
        <row r="2579">
          <cell r="A2579" t="str">
            <v>0B70</v>
          </cell>
        </row>
        <row r="2580">
          <cell r="A2580" t="str">
            <v>0B71</v>
          </cell>
        </row>
        <row r="2581">
          <cell r="A2581" t="str">
            <v>0B72</v>
          </cell>
        </row>
        <row r="2582">
          <cell r="A2582" t="str">
            <v>0B73</v>
          </cell>
        </row>
        <row r="2583">
          <cell r="A2583" t="str">
            <v>0B74</v>
          </cell>
        </row>
        <row r="2584">
          <cell r="A2584" t="str">
            <v>0B75</v>
          </cell>
        </row>
        <row r="2585">
          <cell r="A2585" t="str">
            <v>0B76</v>
          </cell>
        </row>
        <row r="2586">
          <cell r="A2586" t="str">
            <v>0B77</v>
          </cell>
        </row>
        <row r="2587">
          <cell r="A2587" t="str">
            <v>0B78</v>
          </cell>
        </row>
        <row r="2588">
          <cell r="A2588" t="str">
            <v>0B79</v>
          </cell>
        </row>
        <row r="2589">
          <cell r="A2589" t="str">
            <v>0B7A</v>
          </cell>
        </row>
        <row r="2590">
          <cell r="A2590" t="str">
            <v>0B7B</v>
          </cell>
        </row>
        <row r="2591">
          <cell r="A2591" t="str">
            <v>0B7C</v>
          </cell>
        </row>
        <row r="2592">
          <cell r="A2592" t="str">
            <v>0B7D</v>
          </cell>
        </row>
        <row r="2593">
          <cell r="A2593" t="str">
            <v>0B7E</v>
          </cell>
        </row>
        <row r="2594">
          <cell r="A2594" t="str">
            <v>0B7F</v>
          </cell>
        </row>
        <row r="2595">
          <cell r="A2595" t="str">
            <v>0B80</v>
          </cell>
        </row>
        <row r="2596">
          <cell r="A2596" t="str">
            <v>0B81</v>
          </cell>
        </row>
        <row r="2597">
          <cell r="A2597" t="str">
            <v>0B82</v>
          </cell>
        </row>
        <row r="2598">
          <cell r="A2598" t="str">
            <v>0B83</v>
          </cell>
        </row>
        <row r="2599">
          <cell r="A2599" t="str">
            <v>0B84</v>
          </cell>
        </row>
        <row r="2600">
          <cell r="A2600" t="str">
            <v>0B85</v>
          </cell>
        </row>
        <row r="2601">
          <cell r="A2601" t="str">
            <v>0B86</v>
          </cell>
        </row>
        <row r="2602">
          <cell r="A2602" t="str">
            <v>0B87</v>
          </cell>
        </row>
        <row r="2603">
          <cell r="A2603" t="str">
            <v>0B88</v>
          </cell>
        </row>
        <row r="2604">
          <cell r="A2604" t="str">
            <v>0B89</v>
          </cell>
        </row>
        <row r="2605">
          <cell r="A2605" t="str">
            <v>0B8A</v>
          </cell>
        </row>
        <row r="2606">
          <cell r="A2606" t="str">
            <v>0B8B</v>
          </cell>
        </row>
        <row r="2607">
          <cell r="A2607" t="str">
            <v>0B8C</v>
          </cell>
        </row>
        <row r="2608">
          <cell r="A2608" t="str">
            <v>0B8D</v>
          </cell>
        </row>
        <row r="2609">
          <cell r="A2609" t="str">
            <v>0B8E</v>
          </cell>
        </row>
        <row r="2610">
          <cell r="A2610" t="str">
            <v>0B8F</v>
          </cell>
        </row>
        <row r="2611">
          <cell r="A2611" t="str">
            <v>0B90</v>
          </cell>
        </row>
        <row r="2612">
          <cell r="A2612" t="str">
            <v>0B91</v>
          </cell>
        </row>
        <row r="2613">
          <cell r="A2613" t="str">
            <v>0B92</v>
          </cell>
        </row>
        <row r="2614">
          <cell r="A2614" t="str">
            <v>0B93</v>
          </cell>
        </row>
        <row r="2615">
          <cell r="A2615" t="str">
            <v>0B94</v>
          </cell>
        </row>
        <row r="2616">
          <cell r="A2616" t="str">
            <v>0B95</v>
          </cell>
        </row>
        <row r="2617">
          <cell r="A2617" t="str">
            <v>0B96</v>
          </cell>
        </row>
        <row r="2618">
          <cell r="A2618" t="str">
            <v>0B97</v>
          </cell>
        </row>
        <row r="2619">
          <cell r="A2619" t="str">
            <v>0B98</v>
          </cell>
        </row>
        <row r="2620">
          <cell r="A2620" t="str">
            <v>0B99</v>
          </cell>
        </row>
        <row r="2621">
          <cell r="A2621" t="str">
            <v>0B9A</v>
          </cell>
        </row>
        <row r="2622">
          <cell r="A2622" t="str">
            <v>0B9B</v>
          </cell>
        </row>
        <row r="2623">
          <cell r="A2623" t="str">
            <v>0B9C</v>
          </cell>
        </row>
        <row r="2624">
          <cell r="A2624" t="str">
            <v>0B9D</v>
          </cell>
        </row>
        <row r="2625">
          <cell r="A2625" t="str">
            <v>0B9E</v>
          </cell>
        </row>
        <row r="2626">
          <cell r="A2626" t="str">
            <v>0B9F</v>
          </cell>
        </row>
        <row r="2627">
          <cell r="A2627" t="str">
            <v>0BA0</v>
          </cell>
        </row>
        <row r="2628">
          <cell r="A2628" t="str">
            <v>0BA1</v>
          </cell>
        </row>
        <row r="2629">
          <cell r="A2629" t="str">
            <v>0BA2</v>
          </cell>
        </row>
        <row r="2630">
          <cell r="A2630" t="str">
            <v>0BA3</v>
          </cell>
        </row>
        <row r="2631">
          <cell r="A2631" t="str">
            <v>0BA4</v>
          </cell>
        </row>
        <row r="2632">
          <cell r="A2632" t="str">
            <v>0BA5</v>
          </cell>
        </row>
        <row r="2633">
          <cell r="A2633" t="str">
            <v>0BA6</v>
          </cell>
        </row>
        <row r="2634">
          <cell r="A2634" t="str">
            <v>0BA7</v>
          </cell>
        </row>
        <row r="2635">
          <cell r="A2635" t="str">
            <v>0BA8</v>
          </cell>
        </row>
        <row r="2636">
          <cell r="A2636" t="str">
            <v>0BA9</v>
          </cell>
        </row>
        <row r="2637">
          <cell r="A2637" t="str">
            <v>0BAA</v>
          </cell>
        </row>
        <row r="2638">
          <cell r="A2638" t="str">
            <v>0BAB</v>
          </cell>
        </row>
        <row r="2639">
          <cell r="A2639" t="str">
            <v>0BAC</v>
          </cell>
        </row>
        <row r="2640">
          <cell r="A2640" t="str">
            <v>0BAD</v>
          </cell>
        </row>
        <row r="2641">
          <cell r="A2641" t="str">
            <v>0BAE</v>
          </cell>
        </row>
        <row r="2642">
          <cell r="A2642" t="str">
            <v>0BAF</v>
          </cell>
        </row>
        <row r="2643">
          <cell r="A2643" t="str">
            <v>0BB0</v>
          </cell>
        </row>
        <row r="2644">
          <cell r="A2644" t="str">
            <v>0BB1</v>
          </cell>
        </row>
        <row r="2645">
          <cell r="A2645" t="str">
            <v>0BB2</v>
          </cell>
        </row>
        <row r="2646">
          <cell r="A2646" t="str">
            <v>0BB3</v>
          </cell>
        </row>
        <row r="2647">
          <cell r="A2647" t="str">
            <v>0BB4</v>
          </cell>
        </row>
        <row r="2648">
          <cell r="A2648" t="str">
            <v>0BB5</v>
          </cell>
        </row>
        <row r="2649">
          <cell r="A2649" t="str">
            <v>0BB6</v>
          </cell>
        </row>
        <row r="2650">
          <cell r="A2650" t="str">
            <v>0BB7</v>
          </cell>
        </row>
        <row r="2651">
          <cell r="A2651" t="str">
            <v>0BB8</v>
          </cell>
        </row>
        <row r="2652">
          <cell r="A2652" t="str">
            <v>0BB9</v>
          </cell>
        </row>
        <row r="2653">
          <cell r="A2653" t="str">
            <v>0BBA</v>
          </cell>
        </row>
        <row r="2654">
          <cell r="A2654" t="str">
            <v>0BBB</v>
          </cell>
        </row>
        <row r="2655">
          <cell r="A2655" t="str">
            <v>0BBC</v>
          </cell>
        </row>
        <row r="2656">
          <cell r="A2656" t="str">
            <v>0BBD</v>
          </cell>
        </row>
        <row r="2657">
          <cell r="A2657" t="str">
            <v>0BBE</v>
          </cell>
        </row>
        <row r="2658">
          <cell r="A2658" t="str">
            <v>0BBF</v>
          </cell>
        </row>
        <row r="2659">
          <cell r="A2659" t="str">
            <v>0BC0</v>
          </cell>
        </row>
        <row r="2660">
          <cell r="A2660" t="str">
            <v>0BC1</v>
          </cell>
        </row>
        <row r="2661">
          <cell r="A2661" t="str">
            <v>0BC2</v>
          </cell>
        </row>
        <row r="2662">
          <cell r="A2662" t="str">
            <v>0BC3</v>
          </cell>
        </row>
        <row r="2663">
          <cell r="A2663" t="str">
            <v>0BC4</v>
          </cell>
        </row>
        <row r="2664">
          <cell r="A2664" t="str">
            <v>0BC5</v>
          </cell>
        </row>
        <row r="2665">
          <cell r="A2665" t="str">
            <v>0BC6</v>
          </cell>
        </row>
        <row r="2666">
          <cell r="A2666" t="str">
            <v>0BC7</v>
          </cell>
        </row>
        <row r="2667">
          <cell r="A2667" t="str">
            <v>0BC8</v>
          </cell>
        </row>
        <row r="2668">
          <cell r="A2668" t="str">
            <v>0BC9</v>
          </cell>
        </row>
        <row r="2669">
          <cell r="A2669" t="str">
            <v>0BCA</v>
          </cell>
        </row>
        <row r="2670">
          <cell r="A2670" t="str">
            <v>0BCB</v>
          </cell>
        </row>
        <row r="2671">
          <cell r="A2671" t="str">
            <v>0BCC</v>
          </cell>
        </row>
        <row r="2672">
          <cell r="A2672" t="str">
            <v>0BCD</v>
          </cell>
        </row>
        <row r="2673">
          <cell r="A2673" t="str">
            <v>0BCE</v>
          </cell>
        </row>
        <row r="2674">
          <cell r="A2674" t="str">
            <v>0BCF</v>
          </cell>
        </row>
        <row r="2675">
          <cell r="A2675" t="str">
            <v>0BD0</v>
          </cell>
        </row>
        <row r="2676">
          <cell r="A2676" t="str">
            <v>0BD1</v>
          </cell>
        </row>
        <row r="2677">
          <cell r="A2677" t="str">
            <v>0BD2</v>
          </cell>
        </row>
        <row r="2678">
          <cell r="A2678" t="str">
            <v>0BD3</v>
          </cell>
        </row>
        <row r="2679">
          <cell r="A2679" t="str">
            <v>0BD4</v>
          </cell>
        </row>
        <row r="2680">
          <cell r="A2680" t="str">
            <v>0BD5</v>
          </cell>
        </row>
        <row r="2681">
          <cell r="A2681" t="str">
            <v>0BD6</v>
          </cell>
        </row>
        <row r="2682">
          <cell r="A2682" t="str">
            <v>0BD7</v>
          </cell>
        </row>
        <row r="2683">
          <cell r="A2683" t="str">
            <v>0BD8</v>
          </cell>
        </row>
        <row r="2684">
          <cell r="A2684" t="str">
            <v>0BD9</v>
          </cell>
        </row>
        <row r="2685">
          <cell r="A2685" t="str">
            <v>0BDA</v>
          </cell>
        </row>
        <row r="2686">
          <cell r="A2686" t="str">
            <v>0BDB</v>
          </cell>
        </row>
        <row r="2687">
          <cell r="A2687" t="str">
            <v>0BDC</v>
          </cell>
        </row>
        <row r="2688">
          <cell r="A2688" t="str">
            <v>0BDD</v>
          </cell>
        </row>
        <row r="2689">
          <cell r="A2689" t="str">
            <v>0BDE</v>
          </cell>
        </row>
        <row r="2690">
          <cell r="A2690" t="str">
            <v>0BDF</v>
          </cell>
        </row>
        <row r="2691">
          <cell r="A2691" t="str">
            <v>0BE0</v>
          </cell>
        </row>
        <row r="2692">
          <cell r="A2692" t="str">
            <v>0BE1</v>
          </cell>
        </row>
        <row r="2693">
          <cell r="A2693" t="str">
            <v>0BE2</v>
          </cell>
        </row>
        <row r="2694">
          <cell r="A2694" t="str">
            <v>0BE3</v>
          </cell>
        </row>
        <row r="2695">
          <cell r="A2695" t="str">
            <v>0BE4</v>
          </cell>
        </row>
        <row r="2696">
          <cell r="A2696" t="str">
            <v>0BE5</v>
          </cell>
        </row>
        <row r="2697">
          <cell r="A2697" t="str">
            <v>0BE6</v>
          </cell>
        </row>
        <row r="2698">
          <cell r="A2698" t="str">
            <v>0BE7</v>
          </cell>
        </row>
        <row r="2699">
          <cell r="A2699" t="str">
            <v>0BE8</v>
          </cell>
        </row>
        <row r="2700">
          <cell r="A2700" t="str">
            <v>0BE9</v>
          </cell>
        </row>
        <row r="2701">
          <cell r="A2701" t="str">
            <v>0BEA</v>
          </cell>
        </row>
        <row r="2702">
          <cell r="A2702" t="str">
            <v>0BEB</v>
          </cell>
        </row>
        <row r="2703">
          <cell r="A2703" t="str">
            <v>0BEC</v>
          </cell>
        </row>
        <row r="2704">
          <cell r="A2704" t="str">
            <v>0BED</v>
          </cell>
        </row>
        <row r="2705">
          <cell r="A2705" t="str">
            <v>0BEE</v>
          </cell>
        </row>
        <row r="2706">
          <cell r="A2706" t="str">
            <v>0BEF</v>
          </cell>
        </row>
        <row r="2707">
          <cell r="A2707" t="str">
            <v>0BF0</v>
          </cell>
        </row>
        <row r="2708">
          <cell r="A2708" t="str">
            <v>0BF1</v>
          </cell>
        </row>
        <row r="2709">
          <cell r="A2709" t="str">
            <v>0BF2</v>
          </cell>
        </row>
        <row r="2710">
          <cell r="A2710" t="str">
            <v>0BF3</v>
          </cell>
        </row>
        <row r="2711">
          <cell r="A2711" t="str">
            <v>0BF4</v>
          </cell>
        </row>
        <row r="2712">
          <cell r="A2712" t="str">
            <v>0BF5</v>
          </cell>
        </row>
        <row r="2713">
          <cell r="A2713" t="str">
            <v>0BF6</v>
          </cell>
        </row>
        <row r="2714">
          <cell r="A2714" t="str">
            <v>0BF7</v>
          </cell>
        </row>
        <row r="2715">
          <cell r="A2715" t="str">
            <v>0BF8</v>
          </cell>
        </row>
        <row r="2716">
          <cell r="A2716" t="str">
            <v>0BF9</v>
          </cell>
        </row>
        <row r="2717">
          <cell r="A2717" t="str">
            <v>0BFA</v>
          </cell>
        </row>
        <row r="2718">
          <cell r="A2718" t="str">
            <v>0BFB</v>
          </cell>
        </row>
        <row r="2719">
          <cell r="A2719" t="str">
            <v>0BFC</v>
          </cell>
        </row>
        <row r="2720">
          <cell r="A2720" t="str">
            <v>0BFD</v>
          </cell>
        </row>
        <row r="2721">
          <cell r="A2721" t="str">
            <v>0BFE</v>
          </cell>
        </row>
        <row r="2722">
          <cell r="A2722" t="str">
            <v>0BFF</v>
          </cell>
        </row>
        <row r="2723">
          <cell r="A2723" t="str">
            <v>0C00</v>
          </cell>
        </row>
        <row r="2724">
          <cell r="A2724" t="str">
            <v>0C01</v>
          </cell>
        </row>
        <row r="2725">
          <cell r="A2725" t="str">
            <v>0C02</v>
          </cell>
        </row>
        <row r="2726">
          <cell r="A2726" t="str">
            <v>0C03</v>
          </cell>
        </row>
        <row r="2727">
          <cell r="A2727" t="str">
            <v>0C04</v>
          </cell>
        </row>
        <row r="2728">
          <cell r="A2728" t="str">
            <v>0C05</v>
          </cell>
        </row>
        <row r="2729">
          <cell r="A2729" t="str">
            <v>0C06</v>
          </cell>
        </row>
        <row r="2730">
          <cell r="A2730" t="str">
            <v>0C07</v>
          </cell>
        </row>
        <row r="2731">
          <cell r="A2731" t="str">
            <v>0C08</v>
          </cell>
        </row>
        <row r="2732">
          <cell r="A2732" t="str">
            <v>0C09</v>
          </cell>
        </row>
        <row r="2733">
          <cell r="A2733" t="str">
            <v>0C0A</v>
          </cell>
        </row>
        <row r="2734">
          <cell r="A2734" t="str">
            <v>0C0B</v>
          </cell>
        </row>
        <row r="2735">
          <cell r="A2735" t="str">
            <v>0C0C</v>
          </cell>
        </row>
        <row r="2736">
          <cell r="A2736" t="str">
            <v>0C0D</v>
          </cell>
        </row>
        <row r="2737">
          <cell r="A2737" t="str">
            <v>0C0E</v>
          </cell>
        </row>
        <row r="2738">
          <cell r="A2738" t="str">
            <v>0C0F</v>
          </cell>
        </row>
        <row r="2739">
          <cell r="A2739" t="str">
            <v>0C10</v>
          </cell>
        </row>
        <row r="2740">
          <cell r="A2740" t="str">
            <v>0C11</v>
          </cell>
        </row>
        <row r="2741">
          <cell r="A2741" t="str">
            <v>0C12</v>
          </cell>
        </row>
        <row r="2742">
          <cell r="A2742" t="str">
            <v>0C13</v>
          </cell>
        </row>
        <row r="2743">
          <cell r="A2743" t="str">
            <v>0C14</v>
          </cell>
        </row>
        <row r="2744">
          <cell r="A2744" t="str">
            <v>0C15</v>
          </cell>
        </row>
        <row r="2745">
          <cell r="A2745" t="str">
            <v>0C16</v>
          </cell>
        </row>
        <row r="2746">
          <cell r="A2746" t="str">
            <v>0C17</v>
          </cell>
        </row>
        <row r="2747">
          <cell r="A2747" t="str">
            <v>0C18</v>
          </cell>
        </row>
        <row r="2748">
          <cell r="A2748" t="str">
            <v>0C19</v>
          </cell>
        </row>
        <row r="2749">
          <cell r="A2749" t="str">
            <v>0C1A</v>
          </cell>
        </row>
        <row r="2750">
          <cell r="A2750" t="str">
            <v>0C1B</v>
          </cell>
        </row>
        <row r="2751">
          <cell r="A2751" t="str">
            <v>0C1C</v>
          </cell>
        </row>
        <row r="2752">
          <cell r="A2752" t="str">
            <v>0C1D</v>
          </cell>
        </row>
        <row r="2753">
          <cell r="A2753" t="str">
            <v>0C1E</v>
          </cell>
        </row>
        <row r="2754">
          <cell r="A2754" t="str">
            <v>0C1F</v>
          </cell>
        </row>
        <row r="2755">
          <cell r="A2755" t="str">
            <v>0C20</v>
          </cell>
        </row>
        <row r="2756">
          <cell r="A2756" t="str">
            <v>0C21</v>
          </cell>
        </row>
        <row r="2757">
          <cell r="A2757" t="str">
            <v>0C22</v>
          </cell>
        </row>
        <row r="2758">
          <cell r="A2758" t="str">
            <v>0C23</v>
          </cell>
        </row>
        <row r="2759">
          <cell r="A2759" t="str">
            <v>0C24</v>
          </cell>
        </row>
        <row r="2760">
          <cell r="A2760" t="str">
            <v>0C25</v>
          </cell>
        </row>
        <row r="2761">
          <cell r="A2761" t="str">
            <v>0C26</v>
          </cell>
        </row>
        <row r="2762">
          <cell r="A2762" t="str">
            <v>0C27</v>
          </cell>
        </row>
        <row r="2763">
          <cell r="A2763" t="str">
            <v>0C28</v>
          </cell>
        </row>
        <row r="2764">
          <cell r="A2764" t="str">
            <v>0C29</v>
          </cell>
        </row>
        <row r="2765">
          <cell r="A2765" t="str">
            <v>0C2A</v>
          </cell>
        </row>
        <row r="2766">
          <cell r="A2766" t="str">
            <v>0C2B</v>
          </cell>
        </row>
        <row r="2767">
          <cell r="A2767" t="str">
            <v>0C2C</v>
          </cell>
        </row>
        <row r="2768">
          <cell r="A2768" t="str">
            <v>0C2D</v>
          </cell>
        </row>
        <row r="2769">
          <cell r="A2769" t="str">
            <v>0C2E</v>
          </cell>
        </row>
        <row r="2770">
          <cell r="A2770" t="str">
            <v>0C2F</v>
          </cell>
        </row>
        <row r="2771">
          <cell r="A2771" t="str">
            <v>0C30</v>
          </cell>
        </row>
        <row r="2772">
          <cell r="A2772" t="str">
            <v>0C31</v>
          </cell>
        </row>
        <row r="2773">
          <cell r="A2773" t="str">
            <v>0C32</v>
          </cell>
        </row>
        <row r="2774">
          <cell r="A2774" t="str">
            <v>0C33</v>
          </cell>
        </row>
        <row r="2775">
          <cell r="A2775" t="str">
            <v>0C34</v>
          </cell>
        </row>
        <row r="2776">
          <cell r="A2776" t="str">
            <v>0C35</v>
          </cell>
        </row>
        <row r="2777">
          <cell r="A2777" t="str">
            <v>0C36</v>
          </cell>
        </row>
        <row r="2778">
          <cell r="A2778" t="str">
            <v>0C37</v>
          </cell>
        </row>
        <row r="2779">
          <cell r="A2779" t="str">
            <v>0C38</v>
          </cell>
        </row>
        <row r="2780">
          <cell r="A2780" t="str">
            <v>0C39</v>
          </cell>
        </row>
        <row r="2781">
          <cell r="A2781" t="str">
            <v>0C3A</v>
          </cell>
        </row>
        <row r="2782">
          <cell r="A2782" t="str">
            <v>0C3B</v>
          </cell>
        </row>
        <row r="2783">
          <cell r="A2783" t="str">
            <v>0C3C</v>
          </cell>
        </row>
        <row r="2784">
          <cell r="A2784" t="str">
            <v>0C3D</v>
          </cell>
        </row>
        <row r="2785">
          <cell r="A2785" t="str">
            <v>0C3E</v>
          </cell>
        </row>
        <row r="2786">
          <cell r="A2786" t="str">
            <v>0C3F</v>
          </cell>
        </row>
        <row r="2787">
          <cell r="A2787" t="str">
            <v>0C40</v>
          </cell>
        </row>
        <row r="2788">
          <cell r="A2788" t="str">
            <v>0C41</v>
          </cell>
        </row>
        <row r="2789">
          <cell r="A2789" t="str">
            <v>0C42</v>
          </cell>
        </row>
        <row r="2790">
          <cell r="A2790" t="str">
            <v>0C43</v>
          </cell>
        </row>
        <row r="2791">
          <cell r="A2791" t="str">
            <v>0C44</v>
          </cell>
        </row>
        <row r="2792">
          <cell r="A2792" t="str">
            <v>0C45</v>
          </cell>
        </row>
        <row r="2793">
          <cell r="A2793" t="str">
            <v>0C46</v>
          </cell>
        </row>
        <row r="2794">
          <cell r="A2794" t="str">
            <v>0C47</v>
          </cell>
        </row>
        <row r="2795">
          <cell r="A2795" t="str">
            <v>0C48</v>
          </cell>
        </row>
        <row r="2796">
          <cell r="A2796" t="str">
            <v>0C49</v>
          </cell>
        </row>
        <row r="2797">
          <cell r="A2797" t="str">
            <v>0C4A</v>
          </cell>
        </row>
        <row r="2798">
          <cell r="A2798" t="str">
            <v>0C4B</v>
          </cell>
        </row>
        <row r="2799">
          <cell r="A2799" t="str">
            <v>0C4C</v>
          </cell>
        </row>
        <row r="2800">
          <cell r="A2800" t="str">
            <v>0C4D</v>
          </cell>
        </row>
        <row r="2801">
          <cell r="A2801" t="str">
            <v>0C4E</v>
          </cell>
        </row>
        <row r="2802">
          <cell r="A2802" t="str">
            <v>0C4F</v>
          </cell>
        </row>
        <row r="2803">
          <cell r="A2803" t="str">
            <v>0C50</v>
          </cell>
        </row>
        <row r="2804">
          <cell r="A2804" t="str">
            <v>0C51</v>
          </cell>
        </row>
        <row r="2805">
          <cell r="A2805" t="str">
            <v>0C52</v>
          </cell>
        </row>
        <row r="2806">
          <cell r="A2806" t="str">
            <v>0C53</v>
          </cell>
        </row>
        <row r="2807">
          <cell r="A2807" t="str">
            <v>0C54</v>
          </cell>
        </row>
        <row r="2808">
          <cell r="A2808" t="str">
            <v>0C55</v>
          </cell>
        </row>
        <row r="2809">
          <cell r="A2809" t="str">
            <v>0C56</v>
          </cell>
        </row>
        <row r="2810">
          <cell r="A2810" t="str">
            <v>0C57</v>
          </cell>
        </row>
        <row r="2811">
          <cell r="A2811" t="str">
            <v>0C58</v>
          </cell>
        </row>
        <row r="2812">
          <cell r="A2812" t="str">
            <v>0C59</v>
          </cell>
        </row>
        <row r="2813">
          <cell r="A2813" t="str">
            <v>0C5A</v>
          </cell>
        </row>
        <row r="2814">
          <cell r="A2814" t="str">
            <v>0C5B</v>
          </cell>
        </row>
        <row r="2815">
          <cell r="A2815" t="str">
            <v>0C5C</v>
          </cell>
        </row>
        <row r="2816">
          <cell r="A2816" t="str">
            <v>0C5D</v>
          </cell>
        </row>
        <row r="2817">
          <cell r="A2817" t="str">
            <v>0C5E</v>
          </cell>
        </row>
        <row r="2818">
          <cell r="A2818" t="str">
            <v>0C5F</v>
          </cell>
        </row>
        <row r="2819">
          <cell r="A2819" t="str">
            <v>0C60</v>
          </cell>
        </row>
        <row r="2820">
          <cell r="A2820" t="str">
            <v>0C61</v>
          </cell>
        </row>
        <row r="2821">
          <cell r="A2821" t="str">
            <v>0C62</v>
          </cell>
        </row>
        <row r="2822">
          <cell r="A2822" t="str">
            <v>0C63</v>
          </cell>
        </row>
        <row r="2823">
          <cell r="A2823" t="str">
            <v>0C64</v>
          </cell>
        </row>
        <row r="2824">
          <cell r="A2824" t="str">
            <v>0C65</v>
          </cell>
        </row>
        <row r="2825">
          <cell r="A2825" t="str">
            <v>0C66</v>
          </cell>
        </row>
        <row r="2826">
          <cell r="A2826" t="str">
            <v>0C67</v>
          </cell>
        </row>
        <row r="2827">
          <cell r="A2827" t="str">
            <v>0C68</v>
          </cell>
        </row>
        <row r="2828">
          <cell r="A2828" t="str">
            <v>0C69</v>
          </cell>
        </row>
        <row r="2829">
          <cell r="A2829" t="str">
            <v>0C6A</v>
          </cell>
        </row>
        <row r="2830">
          <cell r="A2830" t="str">
            <v>0C6B</v>
          </cell>
        </row>
        <row r="2831">
          <cell r="A2831" t="str">
            <v>0C6C</v>
          </cell>
        </row>
        <row r="2832">
          <cell r="A2832" t="str">
            <v>0C6D</v>
          </cell>
        </row>
        <row r="2833">
          <cell r="A2833" t="str">
            <v>0C6E</v>
          </cell>
        </row>
        <row r="2834">
          <cell r="A2834" t="str">
            <v>0C6F</v>
          </cell>
        </row>
        <row r="2835">
          <cell r="A2835" t="str">
            <v>0C70</v>
          </cell>
        </row>
        <row r="2836">
          <cell r="A2836" t="str">
            <v>0C71</v>
          </cell>
        </row>
        <row r="2837">
          <cell r="A2837" t="str">
            <v>0C72</v>
          </cell>
        </row>
        <row r="2838">
          <cell r="A2838" t="str">
            <v>0C73</v>
          </cell>
        </row>
        <row r="2839">
          <cell r="A2839" t="str">
            <v>0C74</v>
          </cell>
        </row>
        <row r="2840">
          <cell r="A2840" t="str">
            <v>0C75</v>
          </cell>
        </row>
        <row r="2841">
          <cell r="A2841" t="str">
            <v>0C76</v>
          </cell>
        </row>
        <row r="2842">
          <cell r="A2842" t="str">
            <v>0C77</v>
          </cell>
        </row>
        <row r="2843">
          <cell r="A2843" t="str">
            <v>0C78</v>
          </cell>
        </row>
        <row r="2844">
          <cell r="A2844" t="str">
            <v>0C79</v>
          </cell>
        </row>
        <row r="2845">
          <cell r="A2845" t="str">
            <v>0C7A</v>
          </cell>
        </row>
        <row r="2846">
          <cell r="A2846" t="str">
            <v>0C7B</v>
          </cell>
        </row>
        <row r="2847">
          <cell r="A2847" t="str">
            <v>0C7C</v>
          </cell>
        </row>
        <row r="2848">
          <cell r="A2848" t="str">
            <v>0C7D</v>
          </cell>
        </row>
        <row r="2849">
          <cell r="A2849" t="str">
            <v>0C7E</v>
          </cell>
        </row>
        <row r="2850">
          <cell r="A2850" t="str">
            <v>0C7F</v>
          </cell>
        </row>
        <row r="2851">
          <cell r="A2851" t="str">
            <v>0C80</v>
          </cell>
        </row>
        <row r="2852">
          <cell r="A2852" t="str">
            <v>0C81</v>
          </cell>
        </row>
        <row r="2853">
          <cell r="A2853" t="str">
            <v>0C82</v>
          </cell>
        </row>
        <row r="2854">
          <cell r="A2854" t="str">
            <v>0C83</v>
          </cell>
        </row>
        <row r="2855">
          <cell r="A2855" t="str">
            <v>0C84</v>
          </cell>
        </row>
        <row r="2856">
          <cell r="A2856" t="str">
            <v>0C85</v>
          </cell>
        </row>
        <row r="2857">
          <cell r="A2857" t="str">
            <v>0C86</v>
          </cell>
        </row>
        <row r="2858">
          <cell r="A2858" t="str">
            <v>0C87</v>
          </cell>
        </row>
        <row r="2859">
          <cell r="A2859" t="str">
            <v>0C88</v>
          </cell>
        </row>
        <row r="2860">
          <cell r="A2860" t="str">
            <v>0C89</v>
          </cell>
        </row>
        <row r="2861">
          <cell r="A2861" t="str">
            <v>0C8A</v>
          </cell>
        </row>
        <row r="2862">
          <cell r="A2862" t="str">
            <v>0C8B</v>
          </cell>
        </row>
        <row r="2863">
          <cell r="A2863" t="str">
            <v>0C8C</v>
          </cell>
        </row>
        <row r="2864">
          <cell r="A2864" t="str">
            <v>0C8D</v>
          </cell>
        </row>
        <row r="2865">
          <cell r="A2865" t="str">
            <v>0C8E</v>
          </cell>
        </row>
        <row r="2866">
          <cell r="A2866" t="str">
            <v>0C8F</v>
          </cell>
        </row>
        <row r="2867">
          <cell r="A2867" t="str">
            <v>0C90</v>
          </cell>
        </row>
        <row r="2868">
          <cell r="A2868" t="str">
            <v>0C91</v>
          </cell>
        </row>
        <row r="2869">
          <cell r="A2869" t="str">
            <v>0C92</v>
          </cell>
        </row>
        <row r="2870">
          <cell r="A2870" t="str">
            <v>0C93</v>
          </cell>
        </row>
        <row r="2871">
          <cell r="A2871" t="str">
            <v>0C94</v>
          </cell>
        </row>
        <row r="2872">
          <cell r="A2872" t="str">
            <v>0C95</v>
          </cell>
        </row>
        <row r="2873">
          <cell r="A2873" t="str">
            <v>0C96</v>
          </cell>
        </row>
        <row r="2874">
          <cell r="A2874" t="str">
            <v>0C97</v>
          </cell>
        </row>
        <row r="2875">
          <cell r="A2875" t="str">
            <v>0C98</v>
          </cell>
        </row>
        <row r="2876">
          <cell r="A2876" t="str">
            <v>0C99</v>
          </cell>
        </row>
        <row r="2877">
          <cell r="A2877" t="str">
            <v>0C9A</v>
          </cell>
        </row>
        <row r="2878">
          <cell r="A2878" t="str">
            <v>0C9B</v>
          </cell>
        </row>
        <row r="2879">
          <cell r="A2879" t="str">
            <v>0C9C</v>
          </cell>
        </row>
        <row r="2880">
          <cell r="A2880" t="str">
            <v>0C9D</v>
          </cell>
        </row>
        <row r="2881">
          <cell r="A2881" t="str">
            <v>0C9E</v>
          </cell>
        </row>
        <row r="2882">
          <cell r="A2882" t="str">
            <v>0C9F</v>
          </cell>
        </row>
        <row r="2883">
          <cell r="A2883" t="str">
            <v>0CA0</v>
          </cell>
        </row>
        <row r="2884">
          <cell r="A2884" t="str">
            <v>0CA1</v>
          </cell>
        </row>
        <row r="2885">
          <cell r="A2885" t="str">
            <v>0CA2</v>
          </cell>
        </row>
        <row r="2886">
          <cell r="A2886" t="str">
            <v>0CA3</v>
          </cell>
        </row>
        <row r="2887">
          <cell r="A2887" t="str">
            <v>0CA4</v>
          </cell>
        </row>
        <row r="2888">
          <cell r="A2888" t="str">
            <v>0CA5</v>
          </cell>
        </row>
        <row r="2889">
          <cell r="A2889" t="str">
            <v>0CA6</v>
          </cell>
        </row>
        <row r="2890">
          <cell r="A2890" t="str">
            <v>0CA7</v>
          </cell>
        </row>
        <row r="2891">
          <cell r="A2891" t="str">
            <v>0CA8</v>
          </cell>
        </row>
        <row r="2892">
          <cell r="A2892" t="str">
            <v>0CA9</v>
          </cell>
        </row>
        <row r="2893">
          <cell r="A2893" t="str">
            <v>0CAA</v>
          </cell>
        </row>
        <row r="2894">
          <cell r="A2894" t="str">
            <v>0CAB</v>
          </cell>
        </row>
        <row r="2895">
          <cell r="A2895" t="str">
            <v>0CAC</v>
          </cell>
        </row>
        <row r="2896">
          <cell r="A2896" t="str">
            <v>0CAD</v>
          </cell>
        </row>
        <row r="2897">
          <cell r="A2897" t="str">
            <v>0CAE</v>
          </cell>
        </row>
        <row r="2898">
          <cell r="A2898" t="str">
            <v>0CAF</v>
          </cell>
        </row>
        <row r="2899">
          <cell r="A2899" t="str">
            <v>0CB0</v>
          </cell>
        </row>
        <row r="2900">
          <cell r="A2900" t="str">
            <v>0CB1</v>
          </cell>
        </row>
        <row r="2901">
          <cell r="A2901" t="str">
            <v>0CB2</v>
          </cell>
        </row>
        <row r="2902">
          <cell r="A2902" t="str">
            <v>0CB3</v>
          </cell>
        </row>
        <row r="2903">
          <cell r="A2903" t="str">
            <v>0CB4</v>
          </cell>
        </row>
        <row r="2904">
          <cell r="A2904" t="str">
            <v>0CB5</v>
          </cell>
        </row>
        <row r="2905">
          <cell r="A2905" t="str">
            <v>0CB6</v>
          </cell>
        </row>
        <row r="2906">
          <cell r="A2906" t="str">
            <v>0CB7</v>
          </cell>
        </row>
        <row r="2907">
          <cell r="A2907" t="str">
            <v>0CB8</v>
          </cell>
        </row>
        <row r="2908">
          <cell r="A2908" t="str">
            <v>0CB9</v>
          </cell>
        </row>
        <row r="2909">
          <cell r="A2909" t="str">
            <v>0CBA</v>
          </cell>
        </row>
        <row r="2910">
          <cell r="A2910" t="str">
            <v>0CBB</v>
          </cell>
        </row>
        <row r="2911">
          <cell r="A2911" t="str">
            <v>0CBC</v>
          </cell>
        </row>
        <row r="2912">
          <cell r="A2912" t="str">
            <v>0CBD</v>
          </cell>
        </row>
        <row r="2913">
          <cell r="A2913" t="str">
            <v>0CBE</v>
          </cell>
        </row>
        <row r="2914">
          <cell r="A2914" t="str">
            <v>0CBF</v>
          </cell>
        </row>
        <row r="2915">
          <cell r="A2915" t="str">
            <v>0CC0</v>
          </cell>
        </row>
        <row r="2916">
          <cell r="A2916" t="str">
            <v>0CC1</v>
          </cell>
        </row>
        <row r="2917">
          <cell r="A2917" t="str">
            <v>0CC2</v>
          </cell>
        </row>
        <row r="2918">
          <cell r="A2918" t="str">
            <v>0CC3</v>
          </cell>
        </row>
        <row r="2919">
          <cell r="A2919" t="str">
            <v>0CC4</v>
          </cell>
        </row>
        <row r="2920">
          <cell r="A2920" t="str">
            <v>0CC5</v>
          </cell>
        </row>
        <row r="2921">
          <cell r="A2921" t="str">
            <v>0CC6</v>
          </cell>
        </row>
        <row r="2922">
          <cell r="A2922" t="str">
            <v>0CC7</v>
          </cell>
        </row>
        <row r="2923">
          <cell r="A2923" t="str">
            <v>0CC8</v>
          </cell>
        </row>
        <row r="2924">
          <cell r="A2924" t="str">
            <v>0CC9</v>
          </cell>
        </row>
        <row r="2925">
          <cell r="A2925" t="str">
            <v>0CCA</v>
          </cell>
        </row>
        <row r="2926">
          <cell r="A2926" t="str">
            <v>0CCB</v>
          </cell>
        </row>
        <row r="2927">
          <cell r="A2927" t="str">
            <v>0CCC</v>
          </cell>
        </row>
        <row r="2928">
          <cell r="A2928" t="str">
            <v>0CCD</v>
          </cell>
        </row>
        <row r="2929">
          <cell r="A2929" t="str">
            <v>0CCE</v>
          </cell>
        </row>
        <row r="2930">
          <cell r="A2930" t="str">
            <v>0CCF</v>
          </cell>
        </row>
        <row r="2931">
          <cell r="A2931" t="str">
            <v>0CD0</v>
          </cell>
        </row>
        <row r="2932">
          <cell r="A2932" t="str">
            <v>0CD1</v>
          </cell>
        </row>
        <row r="2933">
          <cell r="A2933" t="str">
            <v>0CD2</v>
          </cell>
        </row>
        <row r="2934">
          <cell r="A2934" t="str">
            <v>0CD3</v>
          </cell>
        </row>
        <row r="2935">
          <cell r="A2935" t="str">
            <v>0CD4</v>
          </cell>
        </row>
        <row r="2936">
          <cell r="A2936" t="str">
            <v>0CD5</v>
          </cell>
        </row>
        <row r="2937">
          <cell r="A2937" t="str">
            <v>0CD6</v>
          </cell>
        </row>
        <row r="2938">
          <cell r="A2938" t="str">
            <v>0CD7</v>
          </cell>
        </row>
        <row r="2939">
          <cell r="A2939" t="str">
            <v>0CD8</v>
          </cell>
        </row>
        <row r="2940">
          <cell r="A2940" t="str">
            <v>0CD9</v>
          </cell>
        </row>
        <row r="2941">
          <cell r="A2941" t="str">
            <v>0CDA</v>
          </cell>
        </row>
        <row r="2942">
          <cell r="A2942" t="str">
            <v>0CDB</v>
          </cell>
        </row>
        <row r="2943">
          <cell r="A2943" t="str">
            <v>0CDC</v>
          </cell>
        </row>
        <row r="2944">
          <cell r="A2944" t="str">
            <v>0CDD</v>
          </cell>
        </row>
        <row r="2945">
          <cell r="A2945" t="str">
            <v>0CDE</v>
          </cell>
        </row>
        <row r="2946">
          <cell r="A2946" t="str">
            <v>0CDF</v>
          </cell>
        </row>
        <row r="2947">
          <cell r="A2947" t="str">
            <v>0CE0</v>
          </cell>
        </row>
        <row r="2948">
          <cell r="A2948" t="str">
            <v>0CE1</v>
          </cell>
        </row>
        <row r="2949">
          <cell r="A2949" t="str">
            <v>0CE2</v>
          </cell>
        </row>
        <row r="2950">
          <cell r="A2950" t="str">
            <v>0CE3</v>
          </cell>
        </row>
        <row r="2951">
          <cell r="A2951" t="str">
            <v>0CE4</v>
          </cell>
        </row>
        <row r="2952">
          <cell r="A2952" t="str">
            <v>0CE5</v>
          </cell>
        </row>
        <row r="2953">
          <cell r="A2953" t="str">
            <v>0CE6</v>
          </cell>
        </row>
        <row r="2954">
          <cell r="A2954" t="str">
            <v>0CE7</v>
          </cell>
        </row>
        <row r="2955">
          <cell r="A2955" t="str">
            <v>0CE8</v>
          </cell>
        </row>
        <row r="2956">
          <cell r="A2956" t="str">
            <v>0CE9</v>
          </cell>
        </row>
        <row r="2957">
          <cell r="A2957" t="str">
            <v>0CEA</v>
          </cell>
        </row>
        <row r="2958">
          <cell r="A2958" t="str">
            <v>0CEB</v>
          </cell>
        </row>
        <row r="2959">
          <cell r="A2959" t="str">
            <v>0CEC</v>
          </cell>
        </row>
        <row r="2960">
          <cell r="A2960" t="str">
            <v>0CED</v>
          </cell>
        </row>
        <row r="2961">
          <cell r="A2961" t="str">
            <v>0CEE</v>
          </cell>
        </row>
        <row r="2962">
          <cell r="A2962" t="str">
            <v>0CEF</v>
          </cell>
        </row>
        <row r="2963">
          <cell r="A2963" t="str">
            <v>0CF0</v>
          </cell>
        </row>
        <row r="2964">
          <cell r="A2964" t="str">
            <v>0CF1</v>
          </cell>
        </row>
        <row r="2965">
          <cell r="A2965" t="str">
            <v>0CF2</v>
          </cell>
        </row>
        <row r="2966">
          <cell r="A2966" t="str">
            <v>0CF3</v>
          </cell>
        </row>
        <row r="2967">
          <cell r="A2967" t="str">
            <v>0CF4</v>
          </cell>
        </row>
        <row r="2968">
          <cell r="A2968" t="str">
            <v>0CF5</v>
          </cell>
        </row>
        <row r="2969">
          <cell r="A2969" t="str">
            <v>0CF6</v>
          </cell>
        </row>
        <row r="2970">
          <cell r="A2970" t="str">
            <v>0CF7</v>
          </cell>
        </row>
        <row r="2971">
          <cell r="A2971" t="str">
            <v>0CF8</v>
          </cell>
        </row>
        <row r="2972">
          <cell r="A2972" t="str">
            <v>0CF9</v>
          </cell>
        </row>
        <row r="2973">
          <cell r="A2973" t="str">
            <v>0CFA</v>
          </cell>
        </row>
        <row r="2974">
          <cell r="A2974" t="str">
            <v>0CFB</v>
          </cell>
        </row>
        <row r="2975">
          <cell r="A2975" t="str">
            <v>0CFC</v>
          </cell>
        </row>
        <row r="2976">
          <cell r="A2976" t="str">
            <v>0CFD</v>
          </cell>
        </row>
        <row r="2977">
          <cell r="A2977" t="str">
            <v>0CFE</v>
          </cell>
        </row>
        <row r="2978">
          <cell r="A2978" t="str">
            <v>0CFF</v>
          </cell>
        </row>
        <row r="2979">
          <cell r="A2979" t="str">
            <v>0D00</v>
          </cell>
        </row>
        <row r="2980">
          <cell r="A2980" t="str">
            <v>0D01</v>
          </cell>
        </row>
        <row r="2981">
          <cell r="A2981" t="str">
            <v>0D02</v>
          </cell>
        </row>
        <row r="2982">
          <cell r="A2982" t="str">
            <v>0D03</v>
          </cell>
        </row>
        <row r="2983">
          <cell r="A2983" t="str">
            <v>0D04</v>
          </cell>
        </row>
        <row r="2984">
          <cell r="A2984" t="str">
            <v>0D05</v>
          </cell>
        </row>
        <row r="2985">
          <cell r="A2985" t="str">
            <v>0D06</v>
          </cell>
        </row>
        <row r="2986">
          <cell r="A2986" t="str">
            <v>0D07</v>
          </cell>
        </row>
        <row r="2987">
          <cell r="A2987" t="str">
            <v>0D08</v>
          </cell>
        </row>
        <row r="2988">
          <cell r="A2988" t="str">
            <v>0D09</v>
          </cell>
        </row>
        <row r="2989">
          <cell r="A2989" t="str">
            <v>0D0A</v>
          </cell>
        </row>
        <row r="2990">
          <cell r="A2990" t="str">
            <v>0D0B</v>
          </cell>
        </row>
        <row r="2991">
          <cell r="A2991" t="str">
            <v>0D0C</v>
          </cell>
        </row>
        <row r="2992">
          <cell r="A2992" t="str">
            <v>0D0D</v>
          </cell>
        </row>
        <row r="2993">
          <cell r="A2993" t="str">
            <v>0D0E</v>
          </cell>
        </row>
        <row r="2994">
          <cell r="A2994" t="str">
            <v>0D0F</v>
          </cell>
        </row>
        <row r="2995">
          <cell r="A2995" t="str">
            <v>0D10</v>
          </cell>
        </row>
        <row r="2996">
          <cell r="A2996" t="str">
            <v>0D11</v>
          </cell>
        </row>
        <row r="2997">
          <cell r="A2997" t="str">
            <v>0D12</v>
          </cell>
        </row>
        <row r="2998">
          <cell r="A2998" t="str">
            <v>0D13</v>
          </cell>
        </row>
        <row r="2999">
          <cell r="A2999" t="str">
            <v>0D14</v>
          </cell>
        </row>
        <row r="3000">
          <cell r="A3000" t="str">
            <v>0D15</v>
          </cell>
        </row>
        <row r="3001">
          <cell r="A3001" t="str">
            <v>0D16</v>
          </cell>
        </row>
        <row r="3002">
          <cell r="A3002" t="str">
            <v>0D17</v>
          </cell>
        </row>
        <row r="3003">
          <cell r="A3003" t="str">
            <v>0D18</v>
          </cell>
        </row>
        <row r="3004">
          <cell r="A3004" t="str">
            <v>0D19</v>
          </cell>
        </row>
        <row r="3005">
          <cell r="A3005" t="str">
            <v>0D1A</v>
          </cell>
        </row>
        <row r="3006">
          <cell r="A3006" t="str">
            <v>0D1B</v>
          </cell>
        </row>
        <row r="3007">
          <cell r="A3007" t="str">
            <v>0D1C</v>
          </cell>
        </row>
        <row r="3008">
          <cell r="A3008" t="str">
            <v>0D1D</v>
          </cell>
        </row>
        <row r="3009">
          <cell r="A3009" t="str">
            <v>0D1E</v>
          </cell>
        </row>
        <row r="3010">
          <cell r="A3010" t="str">
            <v>0D1F</v>
          </cell>
        </row>
        <row r="3011">
          <cell r="A3011" t="str">
            <v>0D20</v>
          </cell>
        </row>
        <row r="3012">
          <cell r="A3012" t="str">
            <v>0D21</v>
          </cell>
        </row>
        <row r="3013">
          <cell r="A3013" t="str">
            <v>0D22</v>
          </cell>
        </row>
        <row r="3014">
          <cell r="A3014" t="str">
            <v>0D23</v>
          </cell>
        </row>
        <row r="3015">
          <cell r="A3015" t="str">
            <v>0D24</v>
          </cell>
        </row>
        <row r="3016">
          <cell r="A3016" t="str">
            <v>0D25</v>
          </cell>
        </row>
        <row r="3017">
          <cell r="A3017" t="str">
            <v>0D26</v>
          </cell>
        </row>
        <row r="3018">
          <cell r="A3018" t="str">
            <v>0D27</v>
          </cell>
        </row>
        <row r="3019">
          <cell r="A3019" t="str">
            <v>0D28</v>
          </cell>
        </row>
        <row r="3020">
          <cell r="A3020" t="str">
            <v>0D29</v>
          </cell>
        </row>
        <row r="3021">
          <cell r="A3021" t="str">
            <v>0D2A</v>
          </cell>
        </row>
        <row r="3022">
          <cell r="A3022" t="str">
            <v>0D2B</v>
          </cell>
        </row>
        <row r="3023">
          <cell r="A3023" t="str">
            <v>0D2C</v>
          </cell>
        </row>
        <row r="3024">
          <cell r="A3024" t="str">
            <v>0D2D</v>
          </cell>
        </row>
        <row r="3025">
          <cell r="A3025" t="str">
            <v>0D2E</v>
          </cell>
        </row>
        <row r="3026">
          <cell r="A3026" t="str">
            <v>0D2F</v>
          </cell>
        </row>
        <row r="3027">
          <cell r="A3027" t="str">
            <v>0D30</v>
          </cell>
        </row>
        <row r="3028">
          <cell r="A3028" t="str">
            <v>0D31</v>
          </cell>
        </row>
        <row r="3029">
          <cell r="A3029" t="str">
            <v>0D32</v>
          </cell>
        </row>
        <row r="3030">
          <cell r="A3030" t="str">
            <v>0D33</v>
          </cell>
        </row>
        <row r="3031">
          <cell r="A3031" t="str">
            <v>0D34</v>
          </cell>
        </row>
        <row r="3032">
          <cell r="A3032" t="str">
            <v>0D35</v>
          </cell>
        </row>
        <row r="3033">
          <cell r="A3033" t="str">
            <v>0D36</v>
          </cell>
        </row>
        <row r="3034">
          <cell r="A3034" t="str">
            <v>0D37</v>
          </cell>
        </row>
        <row r="3035">
          <cell r="A3035" t="str">
            <v>0D38</v>
          </cell>
        </row>
        <row r="3036">
          <cell r="A3036" t="str">
            <v>0D39</v>
          </cell>
        </row>
        <row r="3037">
          <cell r="A3037" t="str">
            <v>0D3A</v>
          </cell>
        </row>
        <row r="3038">
          <cell r="A3038" t="str">
            <v>0D3B</v>
          </cell>
        </row>
        <row r="3039">
          <cell r="A3039" t="str">
            <v>0D3C</v>
          </cell>
        </row>
        <row r="3040">
          <cell r="A3040" t="str">
            <v>0D3D</v>
          </cell>
        </row>
        <row r="3041">
          <cell r="A3041" t="str">
            <v>0D3E</v>
          </cell>
        </row>
        <row r="3042">
          <cell r="A3042" t="str">
            <v>0D3F</v>
          </cell>
        </row>
        <row r="3043">
          <cell r="A3043" t="str">
            <v>0D40</v>
          </cell>
        </row>
        <row r="3044">
          <cell r="A3044" t="str">
            <v>0D41</v>
          </cell>
        </row>
        <row r="3045">
          <cell r="A3045" t="str">
            <v>0D42</v>
          </cell>
        </row>
        <row r="3046">
          <cell r="A3046" t="str">
            <v>0D43</v>
          </cell>
        </row>
        <row r="3047">
          <cell r="A3047" t="str">
            <v>0D44</v>
          </cell>
        </row>
        <row r="3048">
          <cell r="A3048" t="str">
            <v>0D45</v>
          </cell>
        </row>
        <row r="3049">
          <cell r="A3049" t="str">
            <v>0D46</v>
          </cell>
        </row>
        <row r="3050">
          <cell r="A3050" t="str">
            <v>0D47</v>
          </cell>
        </row>
        <row r="3051">
          <cell r="A3051" t="str">
            <v>0D48</v>
          </cell>
        </row>
        <row r="3052">
          <cell r="A3052" t="str">
            <v>0D49</v>
          </cell>
        </row>
        <row r="3053">
          <cell r="A3053" t="str">
            <v>0D4A</v>
          </cell>
        </row>
        <row r="3054">
          <cell r="A3054" t="str">
            <v>0D4B</v>
          </cell>
        </row>
        <row r="3055">
          <cell r="A3055" t="str">
            <v>0D4C</v>
          </cell>
        </row>
        <row r="3056">
          <cell r="A3056" t="str">
            <v>0D4D</v>
          </cell>
        </row>
        <row r="3057">
          <cell r="A3057" t="str">
            <v>0D4E</v>
          </cell>
        </row>
        <row r="3058">
          <cell r="A3058" t="str">
            <v>0D4F</v>
          </cell>
        </row>
        <row r="3059">
          <cell r="A3059" t="str">
            <v>0D50</v>
          </cell>
        </row>
        <row r="3060">
          <cell r="A3060" t="str">
            <v>0D51</v>
          </cell>
        </row>
        <row r="3061">
          <cell r="A3061" t="str">
            <v>0D52</v>
          </cell>
        </row>
        <row r="3062">
          <cell r="A3062" t="str">
            <v>0D53</v>
          </cell>
        </row>
        <row r="3063">
          <cell r="A3063" t="str">
            <v>0D54</v>
          </cell>
        </row>
        <row r="3064">
          <cell r="A3064" t="str">
            <v>0D55</v>
          </cell>
        </row>
        <row r="3065">
          <cell r="A3065" t="str">
            <v>0D56</v>
          </cell>
        </row>
        <row r="3066">
          <cell r="A3066" t="str">
            <v>0D57</v>
          </cell>
        </row>
        <row r="3067">
          <cell r="A3067" t="str">
            <v>0D58</v>
          </cell>
        </row>
        <row r="3068">
          <cell r="A3068" t="str">
            <v>0D59</v>
          </cell>
        </row>
        <row r="3069">
          <cell r="A3069" t="str">
            <v>0D5A</v>
          </cell>
        </row>
        <row r="3070">
          <cell r="A3070" t="str">
            <v>0D5B</v>
          </cell>
        </row>
        <row r="3071">
          <cell r="A3071" t="str">
            <v>0D5C</v>
          </cell>
        </row>
        <row r="3072">
          <cell r="A3072" t="str">
            <v>0D5D</v>
          </cell>
        </row>
        <row r="3073">
          <cell r="A3073" t="str">
            <v>0D5E</v>
          </cell>
        </row>
        <row r="3074">
          <cell r="A3074" t="str">
            <v>0D5F</v>
          </cell>
        </row>
        <row r="3075">
          <cell r="A3075" t="str">
            <v>0D60</v>
          </cell>
        </row>
        <row r="3076">
          <cell r="A3076" t="str">
            <v>0D61</v>
          </cell>
        </row>
        <row r="3077">
          <cell r="A3077" t="str">
            <v>0D62</v>
          </cell>
        </row>
        <row r="3078">
          <cell r="A3078" t="str">
            <v>0D63</v>
          </cell>
        </row>
        <row r="3079">
          <cell r="A3079" t="str">
            <v>0D64</v>
          </cell>
        </row>
        <row r="3080">
          <cell r="A3080" t="str">
            <v>0D65</v>
          </cell>
        </row>
        <row r="3081">
          <cell r="A3081" t="str">
            <v>0D66</v>
          </cell>
        </row>
        <row r="3082">
          <cell r="A3082" t="str">
            <v>0D67</v>
          </cell>
        </row>
        <row r="3083">
          <cell r="A3083" t="str">
            <v>0D68</v>
          </cell>
        </row>
        <row r="3084">
          <cell r="A3084" t="str">
            <v>0D69</v>
          </cell>
        </row>
        <row r="3085">
          <cell r="A3085" t="str">
            <v>0D6A</v>
          </cell>
        </row>
        <row r="3086">
          <cell r="A3086" t="str">
            <v>0D6B</v>
          </cell>
        </row>
        <row r="3087">
          <cell r="A3087" t="str">
            <v>0D6C</v>
          </cell>
        </row>
        <row r="3088">
          <cell r="A3088" t="str">
            <v>0D6D</v>
          </cell>
        </row>
        <row r="3089">
          <cell r="A3089" t="str">
            <v>0D6E</v>
          </cell>
        </row>
        <row r="3090">
          <cell r="A3090" t="str">
            <v>0D6F</v>
          </cell>
        </row>
        <row r="3091">
          <cell r="A3091" t="str">
            <v>0D70</v>
          </cell>
        </row>
        <row r="3092">
          <cell r="A3092" t="str">
            <v>0D71</v>
          </cell>
        </row>
        <row r="3093">
          <cell r="A3093" t="str">
            <v>0D72</v>
          </cell>
        </row>
        <row r="3094">
          <cell r="A3094" t="str">
            <v>0D73</v>
          </cell>
        </row>
        <row r="3095">
          <cell r="A3095" t="str">
            <v>0D74</v>
          </cell>
        </row>
        <row r="3096">
          <cell r="A3096" t="str">
            <v>0D75</v>
          </cell>
        </row>
        <row r="3097">
          <cell r="A3097" t="str">
            <v>0D76</v>
          </cell>
        </row>
        <row r="3098">
          <cell r="A3098" t="str">
            <v>0D77</v>
          </cell>
        </row>
        <row r="3099">
          <cell r="A3099" t="str">
            <v>0D78</v>
          </cell>
        </row>
        <row r="3100">
          <cell r="A3100" t="str">
            <v>0D79</v>
          </cell>
        </row>
        <row r="3101">
          <cell r="A3101" t="str">
            <v>0D7A</v>
          </cell>
        </row>
        <row r="3102">
          <cell r="A3102" t="str">
            <v>0D7B</v>
          </cell>
        </row>
        <row r="3103">
          <cell r="A3103" t="str">
            <v>0D7C</v>
          </cell>
        </row>
        <row r="3104">
          <cell r="A3104" t="str">
            <v>0D7D</v>
          </cell>
        </row>
        <row r="3105">
          <cell r="A3105" t="str">
            <v>0D7E</v>
          </cell>
        </row>
        <row r="3106">
          <cell r="A3106" t="str">
            <v>0D7F</v>
          </cell>
        </row>
        <row r="3107">
          <cell r="A3107" t="str">
            <v>0D80</v>
          </cell>
        </row>
        <row r="3108">
          <cell r="A3108" t="str">
            <v>0D81</v>
          </cell>
        </row>
        <row r="3109">
          <cell r="A3109" t="str">
            <v>0D82</v>
          </cell>
        </row>
        <row r="3110">
          <cell r="A3110" t="str">
            <v>0D83</v>
          </cell>
        </row>
        <row r="3111">
          <cell r="A3111" t="str">
            <v>0D84</v>
          </cell>
        </row>
        <row r="3112">
          <cell r="A3112" t="str">
            <v>0D85</v>
          </cell>
        </row>
        <row r="3113">
          <cell r="A3113" t="str">
            <v>0D86</v>
          </cell>
        </row>
        <row r="3114">
          <cell r="A3114" t="str">
            <v>0D87</v>
          </cell>
        </row>
        <row r="3115">
          <cell r="A3115" t="str">
            <v>0D88</v>
          </cell>
        </row>
        <row r="3116">
          <cell r="A3116" t="str">
            <v>0D89</v>
          </cell>
        </row>
        <row r="3117">
          <cell r="A3117" t="str">
            <v>0D8A</v>
          </cell>
        </row>
        <row r="3118">
          <cell r="A3118" t="str">
            <v>0D8B</v>
          </cell>
        </row>
        <row r="3119">
          <cell r="A3119" t="str">
            <v>0D8C</v>
          </cell>
        </row>
        <row r="3120">
          <cell r="A3120" t="str">
            <v>0D8D</v>
          </cell>
        </row>
        <row r="3121">
          <cell r="A3121" t="str">
            <v>0D8E</v>
          </cell>
        </row>
        <row r="3122">
          <cell r="A3122" t="str">
            <v>0D8F</v>
          </cell>
        </row>
        <row r="3123">
          <cell r="A3123" t="str">
            <v>0D90</v>
          </cell>
        </row>
        <row r="3124">
          <cell r="A3124" t="str">
            <v>0D91</v>
          </cell>
        </row>
        <row r="3125">
          <cell r="A3125" t="str">
            <v>0D92</v>
          </cell>
        </row>
        <row r="3126">
          <cell r="A3126" t="str">
            <v>0D93</v>
          </cell>
        </row>
        <row r="3127">
          <cell r="A3127" t="str">
            <v>0D94</v>
          </cell>
        </row>
        <row r="3128">
          <cell r="A3128" t="str">
            <v>0D95</v>
          </cell>
        </row>
        <row r="3129">
          <cell r="A3129" t="str">
            <v>0D96</v>
          </cell>
        </row>
        <row r="3130">
          <cell r="A3130" t="str">
            <v>0D97</v>
          </cell>
        </row>
        <row r="3131">
          <cell r="A3131" t="str">
            <v>0D98</v>
          </cell>
        </row>
        <row r="3132">
          <cell r="A3132" t="str">
            <v>0D99</v>
          </cell>
        </row>
        <row r="3133">
          <cell r="A3133" t="str">
            <v>0D9A</v>
          </cell>
        </row>
        <row r="3134">
          <cell r="A3134" t="str">
            <v>0D9B</v>
          </cell>
        </row>
        <row r="3135">
          <cell r="A3135" t="str">
            <v>0D9C</v>
          </cell>
        </row>
        <row r="3136">
          <cell r="A3136" t="str">
            <v>0D9D</v>
          </cell>
        </row>
        <row r="3137">
          <cell r="A3137" t="str">
            <v>0D9E</v>
          </cell>
        </row>
        <row r="3138">
          <cell r="A3138" t="str">
            <v>0D9F</v>
          </cell>
        </row>
        <row r="3139">
          <cell r="A3139" t="str">
            <v>0DA0</v>
          </cell>
        </row>
        <row r="3140">
          <cell r="A3140" t="str">
            <v>0DA1</v>
          </cell>
        </row>
        <row r="3141">
          <cell r="A3141" t="str">
            <v>0DA2</v>
          </cell>
        </row>
        <row r="3142">
          <cell r="A3142" t="str">
            <v>0DA3</v>
          </cell>
        </row>
        <row r="3143">
          <cell r="A3143" t="str">
            <v>0DA4</v>
          </cell>
        </row>
        <row r="3144">
          <cell r="A3144" t="str">
            <v>0DA5</v>
          </cell>
        </row>
        <row r="3145">
          <cell r="A3145" t="str">
            <v>0DA6</v>
          </cell>
        </row>
        <row r="3146">
          <cell r="A3146" t="str">
            <v>0DA7</v>
          </cell>
        </row>
        <row r="3147">
          <cell r="A3147" t="str">
            <v>0DA8</v>
          </cell>
        </row>
        <row r="3148">
          <cell r="A3148" t="str">
            <v>0DA9</v>
          </cell>
        </row>
        <row r="3149">
          <cell r="A3149" t="str">
            <v>0DAA</v>
          </cell>
        </row>
        <row r="3150">
          <cell r="A3150" t="str">
            <v>0DAB</v>
          </cell>
        </row>
        <row r="3151">
          <cell r="A3151" t="str">
            <v>0DAC</v>
          </cell>
        </row>
        <row r="3152">
          <cell r="A3152" t="str">
            <v>0DAD</v>
          </cell>
        </row>
        <row r="3153">
          <cell r="A3153" t="str">
            <v>0DAE</v>
          </cell>
        </row>
        <row r="3154">
          <cell r="A3154" t="str">
            <v>0DAF</v>
          </cell>
        </row>
        <row r="3155">
          <cell r="A3155" t="str">
            <v>0DB0</v>
          </cell>
        </row>
        <row r="3156">
          <cell r="A3156" t="str">
            <v>0DB1</v>
          </cell>
        </row>
        <row r="3157">
          <cell r="A3157" t="str">
            <v>0DB2</v>
          </cell>
        </row>
        <row r="3158">
          <cell r="A3158" t="str">
            <v>0DB3</v>
          </cell>
        </row>
        <row r="3159">
          <cell r="A3159" t="str">
            <v>0DB4</v>
          </cell>
        </row>
        <row r="3160">
          <cell r="A3160" t="str">
            <v>0DB5</v>
          </cell>
        </row>
        <row r="3161">
          <cell r="A3161" t="str">
            <v>0DB6</v>
          </cell>
        </row>
        <row r="3162">
          <cell r="A3162" t="str">
            <v>0DB7</v>
          </cell>
        </row>
        <row r="3163">
          <cell r="A3163" t="str">
            <v>0DB8</v>
          </cell>
        </row>
        <row r="3164">
          <cell r="A3164" t="str">
            <v>0DB9</v>
          </cell>
        </row>
        <row r="3165">
          <cell r="A3165" t="str">
            <v>0DBA</v>
          </cell>
        </row>
        <row r="3166">
          <cell r="A3166" t="str">
            <v>0DBB</v>
          </cell>
        </row>
        <row r="3167">
          <cell r="A3167" t="str">
            <v>0DBC</v>
          </cell>
        </row>
        <row r="3168">
          <cell r="A3168" t="str">
            <v>0DBD</v>
          </cell>
        </row>
        <row r="3169">
          <cell r="A3169" t="str">
            <v>0DBE</v>
          </cell>
        </row>
        <row r="3170">
          <cell r="A3170" t="str">
            <v>0DBF</v>
          </cell>
        </row>
        <row r="3171">
          <cell r="A3171" t="str">
            <v>0DC0</v>
          </cell>
        </row>
        <row r="3172">
          <cell r="A3172" t="str">
            <v>0DC1</v>
          </cell>
        </row>
        <row r="3173">
          <cell r="A3173" t="str">
            <v>0DC2</v>
          </cell>
        </row>
        <row r="3174">
          <cell r="A3174" t="str">
            <v>0DC3</v>
          </cell>
        </row>
        <row r="3175">
          <cell r="A3175" t="str">
            <v>0DC4</v>
          </cell>
        </row>
        <row r="3176">
          <cell r="A3176" t="str">
            <v>0DC5</v>
          </cell>
        </row>
        <row r="3177">
          <cell r="A3177" t="str">
            <v>0DC6</v>
          </cell>
        </row>
        <row r="3178">
          <cell r="A3178" t="str">
            <v>0DC7</v>
          </cell>
        </row>
        <row r="3179">
          <cell r="A3179" t="str">
            <v>0DC8</v>
          </cell>
        </row>
        <row r="3180">
          <cell r="A3180" t="str">
            <v>0DC9</v>
          </cell>
        </row>
        <row r="3181">
          <cell r="A3181" t="str">
            <v>0DCA</v>
          </cell>
        </row>
        <row r="3182">
          <cell r="A3182" t="str">
            <v>0DCB</v>
          </cell>
        </row>
        <row r="3183">
          <cell r="A3183" t="str">
            <v>0DCC</v>
          </cell>
        </row>
        <row r="3184">
          <cell r="A3184" t="str">
            <v>0DCD</v>
          </cell>
        </row>
        <row r="3185">
          <cell r="A3185" t="str">
            <v>0DCE</v>
          </cell>
        </row>
        <row r="3186">
          <cell r="A3186" t="str">
            <v>0DCF</v>
          </cell>
        </row>
        <row r="3187">
          <cell r="A3187" t="str">
            <v>0DD0</v>
          </cell>
        </row>
        <row r="3188">
          <cell r="A3188" t="str">
            <v>0DD1</v>
          </cell>
        </row>
        <row r="3189">
          <cell r="A3189" t="str">
            <v>0DD2</v>
          </cell>
        </row>
        <row r="3190">
          <cell r="A3190" t="str">
            <v>0DD3</v>
          </cell>
        </row>
        <row r="3191">
          <cell r="A3191" t="str">
            <v>0DD4</v>
          </cell>
        </row>
        <row r="3192">
          <cell r="A3192" t="str">
            <v>0DD5</v>
          </cell>
        </row>
        <row r="3193">
          <cell r="A3193" t="str">
            <v>0DD6</v>
          </cell>
        </row>
        <row r="3194">
          <cell r="A3194" t="str">
            <v>0DD7</v>
          </cell>
        </row>
        <row r="3195">
          <cell r="A3195" t="str">
            <v>0DD8</v>
          </cell>
        </row>
        <row r="3196">
          <cell r="A3196" t="str">
            <v>0DD9</v>
          </cell>
        </row>
        <row r="3197">
          <cell r="A3197" t="str">
            <v>0DDA</v>
          </cell>
        </row>
        <row r="3198">
          <cell r="A3198" t="str">
            <v>0DDB</v>
          </cell>
        </row>
        <row r="3199">
          <cell r="A3199" t="str">
            <v>0DDC</v>
          </cell>
        </row>
        <row r="3200">
          <cell r="A3200" t="str">
            <v>0DDD</v>
          </cell>
        </row>
        <row r="3201">
          <cell r="A3201" t="str">
            <v>0DDE</v>
          </cell>
        </row>
        <row r="3202">
          <cell r="A3202" t="str">
            <v>0DDF</v>
          </cell>
        </row>
        <row r="3203">
          <cell r="A3203" t="str">
            <v>0DE0</v>
          </cell>
        </row>
        <row r="3204">
          <cell r="A3204" t="str">
            <v>0DE1</v>
          </cell>
        </row>
        <row r="3205">
          <cell r="A3205" t="str">
            <v>0DE2</v>
          </cell>
        </row>
        <row r="3206">
          <cell r="A3206" t="str">
            <v>0DE3</v>
          </cell>
        </row>
        <row r="3207">
          <cell r="A3207" t="str">
            <v>0DE4</v>
          </cell>
        </row>
        <row r="3208">
          <cell r="A3208" t="str">
            <v>0DE5</v>
          </cell>
        </row>
        <row r="3209">
          <cell r="A3209" t="str">
            <v>0DE6</v>
          </cell>
        </row>
        <row r="3210">
          <cell r="A3210" t="str">
            <v>0DE7</v>
          </cell>
        </row>
        <row r="3211">
          <cell r="A3211" t="str">
            <v>0DE8</v>
          </cell>
        </row>
        <row r="3212">
          <cell r="A3212" t="str">
            <v>0DE9</v>
          </cell>
        </row>
        <row r="3213">
          <cell r="A3213" t="str">
            <v>0DEA</v>
          </cell>
        </row>
        <row r="3214">
          <cell r="A3214" t="str">
            <v>0DEB</v>
          </cell>
        </row>
        <row r="3215">
          <cell r="A3215" t="str">
            <v>0DEC</v>
          </cell>
        </row>
        <row r="3216">
          <cell r="A3216" t="str">
            <v>0DED</v>
          </cell>
        </row>
        <row r="3217">
          <cell r="A3217" t="str">
            <v>0DEE</v>
          </cell>
        </row>
        <row r="3218">
          <cell r="A3218" t="str">
            <v>0DEF</v>
          </cell>
        </row>
        <row r="3219">
          <cell r="A3219" t="str">
            <v>0DF0</v>
          </cell>
        </row>
        <row r="3220">
          <cell r="A3220" t="str">
            <v>0DF1</v>
          </cell>
        </row>
        <row r="3221">
          <cell r="A3221" t="str">
            <v>0DF2</v>
          </cell>
        </row>
        <row r="3222">
          <cell r="A3222" t="str">
            <v>0DF3</v>
          </cell>
        </row>
        <row r="3223">
          <cell r="A3223" t="str">
            <v>0DF4</v>
          </cell>
        </row>
        <row r="3224">
          <cell r="A3224" t="str">
            <v>0DF5</v>
          </cell>
        </row>
        <row r="3225">
          <cell r="A3225" t="str">
            <v>0DF6</v>
          </cell>
        </row>
        <row r="3226">
          <cell r="A3226" t="str">
            <v>0DF7</v>
          </cell>
        </row>
        <row r="3227">
          <cell r="A3227" t="str">
            <v>0DF8</v>
          </cell>
        </row>
        <row r="3228">
          <cell r="A3228" t="str">
            <v>0DF9</v>
          </cell>
        </row>
        <row r="3229">
          <cell r="A3229" t="str">
            <v>0DFA</v>
          </cell>
        </row>
        <row r="3230">
          <cell r="A3230" t="str">
            <v>0DFB</v>
          </cell>
        </row>
        <row r="3231">
          <cell r="A3231" t="str">
            <v>0DFC</v>
          </cell>
        </row>
        <row r="3232">
          <cell r="A3232" t="str">
            <v>0DFD</v>
          </cell>
        </row>
        <row r="3233">
          <cell r="A3233" t="str">
            <v>0DFE</v>
          </cell>
        </row>
        <row r="3234">
          <cell r="A3234" t="str">
            <v>0DFF</v>
          </cell>
        </row>
        <row r="3235">
          <cell r="A3235" t="str">
            <v>0E00</v>
          </cell>
        </row>
        <row r="3236">
          <cell r="A3236" t="str">
            <v>0E01</v>
          </cell>
        </row>
        <row r="3237">
          <cell r="A3237" t="str">
            <v>0E02</v>
          </cell>
        </row>
        <row r="3238">
          <cell r="A3238" t="str">
            <v>0E03</v>
          </cell>
        </row>
        <row r="3239">
          <cell r="A3239" t="str">
            <v>0E04</v>
          </cell>
        </row>
        <row r="3240">
          <cell r="A3240" t="str">
            <v>0E05</v>
          </cell>
        </row>
        <row r="3241">
          <cell r="A3241" t="str">
            <v>0E06</v>
          </cell>
        </row>
        <row r="3242">
          <cell r="A3242" t="str">
            <v>0E07</v>
          </cell>
        </row>
        <row r="3243">
          <cell r="A3243" t="str">
            <v>0E08</v>
          </cell>
        </row>
        <row r="3244">
          <cell r="A3244" t="str">
            <v>0E09</v>
          </cell>
        </row>
        <row r="3245">
          <cell r="A3245" t="str">
            <v>0E0A</v>
          </cell>
        </row>
        <row r="3246">
          <cell r="A3246" t="str">
            <v>0E0B</v>
          </cell>
        </row>
        <row r="3247">
          <cell r="A3247" t="str">
            <v>0E0C</v>
          </cell>
        </row>
        <row r="3248">
          <cell r="A3248" t="str">
            <v>0E0D</v>
          </cell>
        </row>
        <row r="3249">
          <cell r="A3249" t="str">
            <v>0E0E</v>
          </cell>
        </row>
        <row r="3250">
          <cell r="A3250" t="str">
            <v>0E0F</v>
          </cell>
        </row>
        <row r="3251">
          <cell r="A3251" t="str">
            <v>0E10</v>
          </cell>
        </row>
        <row r="3252">
          <cell r="A3252" t="str">
            <v>0E11</v>
          </cell>
        </row>
        <row r="3253">
          <cell r="A3253" t="str">
            <v>0E12</v>
          </cell>
        </row>
        <row r="3254">
          <cell r="A3254" t="str">
            <v>0E13</v>
          </cell>
        </row>
        <row r="3255">
          <cell r="A3255" t="str">
            <v>0E14</v>
          </cell>
        </row>
        <row r="3256">
          <cell r="A3256" t="str">
            <v>0E15</v>
          </cell>
        </row>
        <row r="3257">
          <cell r="A3257" t="str">
            <v>0E16</v>
          </cell>
        </row>
        <row r="3258">
          <cell r="A3258" t="str">
            <v>0E17</v>
          </cell>
        </row>
        <row r="3259">
          <cell r="A3259" t="str">
            <v>0E18</v>
          </cell>
        </row>
        <row r="3260">
          <cell r="A3260" t="str">
            <v>0E19</v>
          </cell>
        </row>
        <row r="3261">
          <cell r="A3261" t="str">
            <v>0E1A</v>
          </cell>
        </row>
        <row r="3262">
          <cell r="A3262" t="str">
            <v>0E1B</v>
          </cell>
        </row>
        <row r="3263">
          <cell r="A3263" t="str">
            <v>0E1C</v>
          </cell>
        </row>
        <row r="3264">
          <cell r="A3264" t="str">
            <v>0E1D</v>
          </cell>
        </row>
        <row r="3265">
          <cell r="A3265" t="str">
            <v>0E1E</v>
          </cell>
        </row>
        <row r="3266">
          <cell r="A3266" t="str">
            <v>0E1F</v>
          </cell>
        </row>
        <row r="3267">
          <cell r="A3267" t="str">
            <v>0E20</v>
          </cell>
        </row>
        <row r="3268">
          <cell r="A3268" t="str">
            <v>0E21</v>
          </cell>
        </row>
        <row r="3269">
          <cell r="A3269" t="str">
            <v>0E22</v>
          </cell>
        </row>
        <row r="3270">
          <cell r="A3270" t="str">
            <v>0E23</v>
          </cell>
        </row>
        <row r="3271">
          <cell r="A3271" t="str">
            <v>0E24</v>
          </cell>
        </row>
        <row r="3272">
          <cell r="A3272" t="str">
            <v>0E25</v>
          </cell>
        </row>
        <row r="3273">
          <cell r="A3273" t="str">
            <v>0E26</v>
          </cell>
        </row>
        <row r="3274">
          <cell r="A3274" t="str">
            <v>0E27</v>
          </cell>
        </row>
        <row r="3275">
          <cell r="A3275" t="str">
            <v>0E28</v>
          </cell>
        </row>
        <row r="3276">
          <cell r="A3276" t="str">
            <v>0E29</v>
          </cell>
        </row>
        <row r="3277">
          <cell r="A3277" t="str">
            <v>0E2A</v>
          </cell>
        </row>
        <row r="3278">
          <cell r="A3278" t="str">
            <v>0E2B</v>
          </cell>
        </row>
        <row r="3279">
          <cell r="A3279" t="str">
            <v>0E2C</v>
          </cell>
        </row>
        <row r="3280">
          <cell r="A3280" t="str">
            <v>0E2D</v>
          </cell>
        </row>
        <row r="3281">
          <cell r="A3281" t="str">
            <v>0E2E</v>
          </cell>
        </row>
        <row r="3282">
          <cell r="A3282" t="str">
            <v>0E2F</v>
          </cell>
        </row>
        <row r="3283">
          <cell r="A3283" t="str">
            <v>0E30</v>
          </cell>
        </row>
        <row r="3284">
          <cell r="A3284" t="str">
            <v>0F00</v>
          </cell>
        </row>
        <row r="3285">
          <cell r="A3285" t="str">
            <v>1000</v>
          </cell>
        </row>
        <row r="3286">
          <cell r="A3286" t="str">
            <v>1001</v>
          </cell>
        </row>
        <row r="3287">
          <cell r="A3287" t="str">
            <v>1002</v>
          </cell>
        </row>
        <row r="3288">
          <cell r="A3288" t="str">
            <v>1003</v>
          </cell>
        </row>
        <row r="3289">
          <cell r="A3289" t="str">
            <v>1004</v>
          </cell>
        </row>
        <row r="3290">
          <cell r="A3290" t="str">
            <v>1005</v>
          </cell>
        </row>
        <row r="3291">
          <cell r="A3291" t="str">
            <v>1006</v>
          </cell>
        </row>
        <row r="3292">
          <cell r="A3292" t="str">
            <v>1007</v>
          </cell>
        </row>
        <row r="3293">
          <cell r="A3293" t="str">
            <v>1008</v>
          </cell>
        </row>
        <row r="3294">
          <cell r="A3294" t="str">
            <v>100A</v>
          </cell>
        </row>
        <row r="3295">
          <cell r="A3295" t="str">
            <v>100B</v>
          </cell>
        </row>
        <row r="3296">
          <cell r="A3296" t="str">
            <v>100C</v>
          </cell>
        </row>
        <row r="3297">
          <cell r="A3297" t="str">
            <v>100D</v>
          </cell>
        </row>
        <row r="3298">
          <cell r="A3298" t="str">
            <v>100E</v>
          </cell>
        </row>
        <row r="3299">
          <cell r="A3299" t="str">
            <v>100F</v>
          </cell>
        </row>
        <row r="3300">
          <cell r="A3300" t="str">
            <v>1010</v>
          </cell>
        </row>
        <row r="3301">
          <cell r="A3301" t="str">
            <v>1011</v>
          </cell>
        </row>
        <row r="3302">
          <cell r="A3302" t="str">
            <v>1012</v>
          </cell>
        </row>
        <row r="3303">
          <cell r="A3303" t="str">
            <v>1013</v>
          </cell>
        </row>
        <row r="3304">
          <cell r="A3304" t="str">
            <v>1014</v>
          </cell>
        </row>
        <row r="3305">
          <cell r="A3305" t="str">
            <v>1015</v>
          </cell>
        </row>
        <row r="3306">
          <cell r="A3306" t="str">
            <v>1016</v>
          </cell>
        </row>
        <row r="3307">
          <cell r="A3307" t="str">
            <v>1018</v>
          </cell>
        </row>
        <row r="3308">
          <cell r="A3308" t="str">
            <v>1019</v>
          </cell>
        </row>
        <row r="3309">
          <cell r="A3309" t="str">
            <v>101A</v>
          </cell>
        </row>
        <row r="3310">
          <cell r="A3310" t="str">
            <v>101B</v>
          </cell>
        </row>
        <row r="3311">
          <cell r="A3311" t="str">
            <v>101C</v>
          </cell>
        </row>
        <row r="3312">
          <cell r="A3312" t="str">
            <v>101D</v>
          </cell>
        </row>
        <row r="3313">
          <cell r="A3313" t="str">
            <v>101E</v>
          </cell>
        </row>
        <row r="3314">
          <cell r="A3314" t="str">
            <v>101F</v>
          </cell>
        </row>
        <row r="3315">
          <cell r="A3315" t="str">
            <v>1020</v>
          </cell>
        </row>
        <row r="3316">
          <cell r="A3316" t="str">
            <v>1021</v>
          </cell>
        </row>
        <row r="3317">
          <cell r="A3317" t="str">
            <v>1022</v>
          </cell>
        </row>
        <row r="3318">
          <cell r="A3318" t="str">
            <v>1023</v>
          </cell>
        </row>
        <row r="3319">
          <cell r="A3319" t="str">
            <v>1024</v>
          </cell>
        </row>
        <row r="3320">
          <cell r="A3320" t="str">
            <v>1025</v>
          </cell>
        </row>
        <row r="3321">
          <cell r="A3321" t="str">
            <v>1026</v>
          </cell>
        </row>
        <row r="3322">
          <cell r="A3322" t="str">
            <v>1027</v>
          </cell>
        </row>
        <row r="3323">
          <cell r="A3323" t="str">
            <v>1028</v>
          </cell>
        </row>
        <row r="3324">
          <cell r="A3324" t="str">
            <v>1029</v>
          </cell>
        </row>
        <row r="3325">
          <cell r="A3325" t="str">
            <v>102A</v>
          </cell>
        </row>
        <row r="3326">
          <cell r="A3326" t="str">
            <v>102B</v>
          </cell>
        </row>
        <row r="3327">
          <cell r="A3327" t="str">
            <v>102C</v>
          </cell>
        </row>
        <row r="3328">
          <cell r="A3328" t="str">
            <v>102D</v>
          </cell>
        </row>
        <row r="3329">
          <cell r="A3329" t="str">
            <v>102E</v>
          </cell>
        </row>
        <row r="3330">
          <cell r="A3330" t="str">
            <v>1048</v>
          </cell>
        </row>
        <row r="3331">
          <cell r="A3331" t="str">
            <v>1071</v>
          </cell>
        </row>
        <row r="3332">
          <cell r="A3332" t="str">
            <v>1072</v>
          </cell>
        </row>
        <row r="3333">
          <cell r="A3333" t="str">
            <v>1074</v>
          </cell>
        </row>
        <row r="3334">
          <cell r="A3334" t="str">
            <v>1075</v>
          </cell>
        </row>
        <row r="3335">
          <cell r="A3335" t="str">
            <v>1100</v>
          </cell>
        </row>
        <row r="3336">
          <cell r="A3336" t="str">
            <v>1101</v>
          </cell>
        </row>
        <row r="3337">
          <cell r="A3337" t="str">
            <v>1102</v>
          </cell>
        </row>
        <row r="3338">
          <cell r="A3338" t="str">
            <v>1103</v>
          </cell>
        </row>
        <row r="3339">
          <cell r="A3339" t="str">
            <v>1105</v>
          </cell>
        </row>
        <row r="3340">
          <cell r="A3340" t="str">
            <v>1106</v>
          </cell>
        </row>
        <row r="3341">
          <cell r="A3341" t="str">
            <v>1107</v>
          </cell>
        </row>
        <row r="3342">
          <cell r="A3342" t="str">
            <v>1108</v>
          </cell>
        </row>
        <row r="3343">
          <cell r="A3343" t="str">
            <v>1109</v>
          </cell>
        </row>
        <row r="3344">
          <cell r="A3344" t="str">
            <v>1110</v>
          </cell>
        </row>
        <row r="3345">
          <cell r="A3345" t="str">
            <v>1111</v>
          </cell>
        </row>
        <row r="3346">
          <cell r="A3346" t="str">
            <v>1112</v>
          </cell>
        </row>
        <row r="3347">
          <cell r="A3347" t="str">
            <v>1113</v>
          </cell>
        </row>
        <row r="3348">
          <cell r="A3348" t="str">
            <v>1114</v>
          </cell>
        </row>
        <row r="3349">
          <cell r="A3349" t="str">
            <v>1115</v>
          </cell>
        </row>
        <row r="3350">
          <cell r="A3350" t="str">
            <v>1116</v>
          </cell>
        </row>
        <row r="3351">
          <cell r="A3351" t="str">
            <v>1117</v>
          </cell>
        </row>
        <row r="3352">
          <cell r="A3352" t="str">
            <v>1118</v>
          </cell>
        </row>
        <row r="3353">
          <cell r="A3353" t="str">
            <v>1119</v>
          </cell>
        </row>
        <row r="3354">
          <cell r="A3354" t="str">
            <v>111A</v>
          </cell>
        </row>
        <row r="3355">
          <cell r="A3355" t="str">
            <v>111B</v>
          </cell>
        </row>
        <row r="3356">
          <cell r="A3356" t="str">
            <v>1120</v>
          </cell>
        </row>
        <row r="3357">
          <cell r="A3357" t="str">
            <v>1121</v>
          </cell>
        </row>
        <row r="3358">
          <cell r="A3358" t="str">
            <v>1122</v>
          </cell>
        </row>
        <row r="3359">
          <cell r="A3359" t="str">
            <v>1123</v>
          </cell>
        </row>
        <row r="3360">
          <cell r="A3360" t="str">
            <v>1124</v>
          </cell>
        </row>
        <row r="3361">
          <cell r="A3361" t="str">
            <v>1125</v>
          </cell>
        </row>
        <row r="3362">
          <cell r="A3362" t="str">
            <v>1126</v>
          </cell>
        </row>
        <row r="3363">
          <cell r="A3363" t="str">
            <v>1127</v>
          </cell>
        </row>
        <row r="3364">
          <cell r="A3364" t="str">
            <v>1128</v>
          </cell>
        </row>
        <row r="3365">
          <cell r="A3365" t="str">
            <v>1129</v>
          </cell>
        </row>
        <row r="3366">
          <cell r="A3366" t="str">
            <v>1130</v>
          </cell>
        </row>
        <row r="3367">
          <cell r="A3367" t="str">
            <v>1131</v>
          </cell>
        </row>
        <row r="3368">
          <cell r="A3368" t="str">
            <v>1132</v>
          </cell>
        </row>
        <row r="3369">
          <cell r="A3369" t="str">
            <v>1133</v>
          </cell>
        </row>
        <row r="3370">
          <cell r="A3370" t="str">
            <v>1134</v>
          </cell>
        </row>
        <row r="3371">
          <cell r="A3371" t="str">
            <v>1135</v>
          </cell>
        </row>
        <row r="3372">
          <cell r="A3372" t="str">
            <v>1136</v>
          </cell>
        </row>
        <row r="3373">
          <cell r="A3373" t="str">
            <v>1137</v>
          </cell>
        </row>
        <row r="3374">
          <cell r="A3374" t="str">
            <v>1138</v>
          </cell>
        </row>
        <row r="3375">
          <cell r="A3375" t="str">
            <v>1139</v>
          </cell>
        </row>
        <row r="3376">
          <cell r="A3376" t="str">
            <v>1140</v>
          </cell>
        </row>
        <row r="3377">
          <cell r="A3377" t="str">
            <v>1141</v>
          </cell>
        </row>
        <row r="3378">
          <cell r="A3378" t="str">
            <v>1142</v>
          </cell>
        </row>
        <row r="3379">
          <cell r="A3379" t="str">
            <v>1143</v>
          </cell>
        </row>
        <row r="3380">
          <cell r="A3380" t="str">
            <v>1144</v>
          </cell>
        </row>
        <row r="3381">
          <cell r="A3381" t="str">
            <v>1145</v>
          </cell>
        </row>
        <row r="3382">
          <cell r="A3382" t="str">
            <v>1146</v>
          </cell>
        </row>
        <row r="3383">
          <cell r="A3383" t="str">
            <v>1147</v>
          </cell>
        </row>
        <row r="3384">
          <cell r="A3384" t="str">
            <v>1148</v>
          </cell>
        </row>
        <row r="3385">
          <cell r="A3385" t="str">
            <v>1149</v>
          </cell>
        </row>
        <row r="3386">
          <cell r="A3386" t="str">
            <v>1150</v>
          </cell>
        </row>
        <row r="3387">
          <cell r="A3387" t="str">
            <v>1151</v>
          </cell>
        </row>
        <row r="3388">
          <cell r="A3388" t="str">
            <v>1152</v>
          </cell>
        </row>
        <row r="3389">
          <cell r="A3389" t="str">
            <v>1153</v>
          </cell>
        </row>
        <row r="3390">
          <cell r="A3390" t="str">
            <v>1154</v>
          </cell>
        </row>
        <row r="3391">
          <cell r="A3391" t="str">
            <v>1155</v>
          </cell>
        </row>
        <row r="3392">
          <cell r="A3392" t="str">
            <v>1156</v>
          </cell>
        </row>
        <row r="3393">
          <cell r="A3393" t="str">
            <v>1157</v>
          </cell>
        </row>
        <row r="3394">
          <cell r="A3394" t="str">
            <v>1158</v>
          </cell>
        </row>
        <row r="3395">
          <cell r="A3395" t="str">
            <v>1159</v>
          </cell>
        </row>
        <row r="3396">
          <cell r="A3396" t="str">
            <v>115A</v>
          </cell>
        </row>
        <row r="3397">
          <cell r="A3397" t="str">
            <v>115B</v>
          </cell>
        </row>
        <row r="3398">
          <cell r="A3398" t="str">
            <v>115C</v>
          </cell>
        </row>
        <row r="3399">
          <cell r="A3399" t="str">
            <v>115D</v>
          </cell>
        </row>
        <row r="3400">
          <cell r="A3400" t="str">
            <v>115E</v>
          </cell>
        </row>
        <row r="3401">
          <cell r="A3401" t="str">
            <v>115F</v>
          </cell>
        </row>
        <row r="3402">
          <cell r="A3402" t="str">
            <v>1167</v>
          </cell>
        </row>
        <row r="3403">
          <cell r="A3403" t="str">
            <v>1168</v>
          </cell>
        </row>
        <row r="3404">
          <cell r="A3404" t="str">
            <v>1169</v>
          </cell>
        </row>
        <row r="3405">
          <cell r="A3405" t="str">
            <v>116A</v>
          </cell>
        </row>
        <row r="3406">
          <cell r="A3406" t="str">
            <v>116B</v>
          </cell>
        </row>
        <row r="3407">
          <cell r="A3407" t="str">
            <v>116C</v>
          </cell>
        </row>
        <row r="3408">
          <cell r="A3408" t="str">
            <v>116D</v>
          </cell>
        </row>
        <row r="3409">
          <cell r="A3409" t="str">
            <v>116E</v>
          </cell>
        </row>
        <row r="3410">
          <cell r="A3410" t="str">
            <v>116F</v>
          </cell>
        </row>
        <row r="3411">
          <cell r="A3411" t="str">
            <v>1170</v>
          </cell>
        </row>
        <row r="3412">
          <cell r="A3412" t="str">
            <v>1171</v>
          </cell>
        </row>
        <row r="3413">
          <cell r="A3413" t="str">
            <v>1172</v>
          </cell>
        </row>
        <row r="3414">
          <cell r="A3414" t="str">
            <v>1173</v>
          </cell>
        </row>
        <row r="3415">
          <cell r="A3415" t="str">
            <v>1174</v>
          </cell>
        </row>
        <row r="3416">
          <cell r="A3416" t="str">
            <v>1175</v>
          </cell>
        </row>
        <row r="3417">
          <cell r="A3417" t="str">
            <v>1176</v>
          </cell>
        </row>
        <row r="3418">
          <cell r="A3418" t="str">
            <v>1177</v>
          </cell>
        </row>
        <row r="3419">
          <cell r="A3419" t="str">
            <v>1178</v>
          </cell>
        </row>
        <row r="3420">
          <cell r="A3420" t="str">
            <v>1179</v>
          </cell>
        </row>
        <row r="3421">
          <cell r="A3421" t="str">
            <v>117A</v>
          </cell>
        </row>
        <row r="3422">
          <cell r="A3422" t="str">
            <v>117B</v>
          </cell>
        </row>
        <row r="3423">
          <cell r="A3423" t="str">
            <v>117C</v>
          </cell>
        </row>
        <row r="3424">
          <cell r="A3424" t="str">
            <v>117D</v>
          </cell>
        </row>
        <row r="3425">
          <cell r="A3425" t="str">
            <v>117E</v>
          </cell>
        </row>
        <row r="3426">
          <cell r="A3426" t="str">
            <v>117F</v>
          </cell>
        </row>
        <row r="3427">
          <cell r="A3427" t="str">
            <v>1180</v>
          </cell>
        </row>
        <row r="3428">
          <cell r="A3428" t="str">
            <v>1181</v>
          </cell>
        </row>
        <row r="3429">
          <cell r="A3429" t="str">
            <v>1182</v>
          </cell>
        </row>
        <row r="3430">
          <cell r="A3430" t="str">
            <v>1183</v>
          </cell>
        </row>
        <row r="3431">
          <cell r="A3431" t="str">
            <v>1184</v>
          </cell>
        </row>
        <row r="3432">
          <cell r="A3432" t="str">
            <v>1185</v>
          </cell>
        </row>
        <row r="3433">
          <cell r="A3433" t="str">
            <v>1186</v>
          </cell>
        </row>
        <row r="3434">
          <cell r="A3434" t="str">
            <v>1187</v>
          </cell>
        </row>
        <row r="3435">
          <cell r="A3435" t="str">
            <v>1188</v>
          </cell>
        </row>
        <row r="3436">
          <cell r="A3436" t="str">
            <v>1189</v>
          </cell>
        </row>
        <row r="3437">
          <cell r="A3437" t="str">
            <v>1190</v>
          </cell>
        </row>
        <row r="3438">
          <cell r="A3438" t="str">
            <v>1191</v>
          </cell>
        </row>
        <row r="3439">
          <cell r="A3439" t="str">
            <v>1192</v>
          </cell>
        </row>
        <row r="3440">
          <cell r="A3440" t="str">
            <v>1193</v>
          </cell>
        </row>
        <row r="3441">
          <cell r="A3441" t="str">
            <v>1194</v>
          </cell>
        </row>
        <row r="3442">
          <cell r="A3442" t="str">
            <v>1195</v>
          </cell>
        </row>
        <row r="3443">
          <cell r="A3443" t="str">
            <v>1196</v>
          </cell>
        </row>
        <row r="3444">
          <cell r="A3444" t="str">
            <v>1197</v>
          </cell>
        </row>
        <row r="3445">
          <cell r="A3445" t="str">
            <v>1198</v>
          </cell>
        </row>
        <row r="3446">
          <cell r="A3446" t="str">
            <v>1200</v>
          </cell>
        </row>
        <row r="3447">
          <cell r="A3447" t="str">
            <v>1201</v>
          </cell>
        </row>
        <row r="3448">
          <cell r="A3448" t="str">
            <v>1202</v>
          </cell>
        </row>
        <row r="3449">
          <cell r="A3449" t="str">
            <v>1203</v>
          </cell>
        </row>
        <row r="3450">
          <cell r="A3450" t="str">
            <v>1204</v>
          </cell>
        </row>
        <row r="3451">
          <cell r="A3451" t="str">
            <v>1205</v>
          </cell>
        </row>
        <row r="3452">
          <cell r="A3452" t="str">
            <v>1206</v>
          </cell>
        </row>
        <row r="3453">
          <cell r="A3453" t="str">
            <v>1207</v>
          </cell>
        </row>
        <row r="3454">
          <cell r="A3454" t="str">
            <v>1208</v>
          </cell>
        </row>
        <row r="3455">
          <cell r="A3455" t="str">
            <v>1209</v>
          </cell>
        </row>
        <row r="3456">
          <cell r="A3456" t="str">
            <v>120A</v>
          </cell>
        </row>
        <row r="3457">
          <cell r="A3457" t="str">
            <v>120B</v>
          </cell>
        </row>
        <row r="3458">
          <cell r="A3458" t="str">
            <v>120C</v>
          </cell>
        </row>
        <row r="3459">
          <cell r="A3459" t="str">
            <v>120D</v>
          </cell>
        </row>
        <row r="3460">
          <cell r="A3460" t="str">
            <v>120E</v>
          </cell>
        </row>
        <row r="3461">
          <cell r="A3461" t="str">
            <v>120F</v>
          </cell>
        </row>
        <row r="3462">
          <cell r="A3462" t="str">
            <v>1210</v>
          </cell>
        </row>
        <row r="3463">
          <cell r="A3463" t="str">
            <v>1211</v>
          </cell>
        </row>
        <row r="3464">
          <cell r="A3464" t="str">
            <v>1212</v>
          </cell>
        </row>
        <row r="3465">
          <cell r="A3465" t="str">
            <v>1213</v>
          </cell>
        </row>
        <row r="3466">
          <cell r="A3466" t="str">
            <v>1214</v>
          </cell>
        </row>
        <row r="3467">
          <cell r="A3467" t="str">
            <v>1215</v>
          </cell>
        </row>
        <row r="3468">
          <cell r="A3468" t="str">
            <v>1216</v>
          </cell>
        </row>
        <row r="3469">
          <cell r="A3469" t="str">
            <v>1217</v>
          </cell>
        </row>
        <row r="3470">
          <cell r="A3470" t="str">
            <v>1218</v>
          </cell>
        </row>
        <row r="3471">
          <cell r="A3471" t="str">
            <v>1219</v>
          </cell>
        </row>
        <row r="3472">
          <cell r="A3472" t="str">
            <v>121A</v>
          </cell>
        </row>
        <row r="3473">
          <cell r="A3473" t="str">
            <v>121B</v>
          </cell>
        </row>
        <row r="3474">
          <cell r="A3474" t="str">
            <v>121C</v>
          </cell>
        </row>
        <row r="3475">
          <cell r="A3475" t="str">
            <v>1220</v>
          </cell>
        </row>
        <row r="3476">
          <cell r="A3476" t="str">
            <v>1221</v>
          </cell>
        </row>
        <row r="3477">
          <cell r="A3477" t="str">
            <v>1222</v>
          </cell>
        </row>
        <row r="3478">
          <cell r="A3478" t="str">
            <v>1223</v>
          </cell>
        </row>
        <row r="3479">
          <cell r="A3479" t="str">
            <v>1224</v>
          </cell>
        </row>
        <row r="3480">
          <cell r="A3480" t="str">
            <v>1225</v>
          </cell>
        </row>
        <row r="3481">
          <cell r="A3481" t="str">
            <v>1226</v>
          </cell>
        </row>
        <row r="3482">
          <cell r="A3482" t="str">
            <v>1227</v>
          </cell>
        </row>
        <row r="3483">
          <cell r="A3483" t="str">
            <v>1228</v>
          </cell>
        </row>
        <row r="3484">
          <cell r="A3484" t="str">
            <v>1229</v>
          </cell>
        </row>
        <row r="3485">
          <cell r="A3485" t="str">
            <v>1230</v>
          </cell>
        </row>
        <row r="3486">
          <cell r="A3486" t="str">
            <v>1231</v>
          </cell>
        </row>
        <row r="3487">
          <cell r="A3487" t="str">
            <v>1232</v>
          </cell>
        </row>
        <row r="3488">
          <cell r="A3488" t="str">
            <v>1233</v>
          </cell>
        </row>
        <row r="3489">
          <cell r="A3489" t="str">
            <v>1234</v>
          </cell>
        </row>
        <row r="3490">
          <cell r="A3490" t="str">
            <v>1235</v>
          </cell>
        </row>
        <row r="3491">
          <cell r="A3491" t="str">
            <v>1236</v>
          </cell>
        </row>
        <row r="3492">
          <cell r="A3492" t="str">
            <v>1237</v>
          </cell>
        </row>
        <row r="3493">
          <cell r="A3493" t="str">
            <v>1238</v>
          </cell>
        </row>
        <row r="3494">
          <cell r="A3494" t="str">
            <v>1239</v>
          </cell>
        </row>
        <row r="3495">
          <cell r="A3495" t="str">
            <v>123A</v>
          </cell>
        </row>
        <row r="3496">
          <cell r="A3496" t="str">
            <v>123B</v>
          </cell>
        </row>
        <row r="3497">
          <cell r="A3497" t="str">
            <v>123C</v>
          </cell>
        </row>
        <row r="3498">
          <cell r="A3498" t="str">
            <v>123D</v>
          </cell>
        </row>
        <row r="3499">
          <cell r="A3499" t="str">
            <v>1240</v>
          </cell>
        </row>
        <row r="3500">
          <cell r="A3500" t="str">
            <v>1241</v>
          </cell>
        </row>
        <row r="3501">
          <cell r="A3501" t="str">
            <v>1242</v>
          </cell>
        </row>
        <row r="3502">
          <cell r="A3502" t="str">
            <v>1243</v>
          </cell>
        </row>
        <row r="3503">
          <cell r="A3503" t="str">
            <v>1244</v>
          </cell>
        </row>
        <row r="3504">
          <cell r="A3504" t="str">
            <v>1245</v>
          </cell>
        </row>
        <row r="3505">
          <cell r="A3505" t="str">
            <v>1246</v>
          </cell>
        </row>
        <row r="3506">
          <cell r="A3506" t="str">
            <v>1247</v>
          </cell>
        </row>
        <row r="3507">
          <cell r="A3507" t="str">
            <v>1248</v>
          </cell>
        </row>
        <row r="3508">
          <cell r="A3508" t="str">
            <v>1249</v>
          </cell>
        </row>
        <row r="3509">
          <cell r="A3509" t="str">
            <v>1250</v>
          </cell>
        </row>
        <row r="3510">
          <cell r="A3510" t="str">
            <v>1251</v>
          </cell>
        </row>
        <row r="3511">
          <cell r="A3511" t="str">
            <v>1252</v>
          </cell>
        </row>
        <row r="3512">
          <cell r="A3512" t="str">
            <v>1253</v>
          </cell>
        </row>
        <row r="3513">
          <cell r="A3513" t="str">
            <v>1254</v>
          </cell>
        </row>
        <row r="3514">
          <cell r="A3514" t="str">
            <v>1255</v>
          </cell>
        </row>
        <row r="3515">
          <cell r="A3515" t="str">
            <v>1256</v>
          </cell>
        </row>
        <row r="3516">
          <cell r="A3516" t="str">
            <v>1257</v>
          </cell>
        </row>
        <row r="3517">
          <cell r="A3517" t="str">
            <v>1258</v>
          </cell>
        </row>
        <row r="3518">
          <cell r="A3518" t="str">
            <v>1259</v>
          </cell>
        </row>
        <row r="3519">
          <cell r="A3519" t="str">
            <v>1260</v>
          </cell>
        </row>
        <row r="3520">
          <cell r="A3520" t="str">
            <v>1261</v>
          </cell>
        </row>
        <row r="3521">
          <cell r="A3521" t="str">
            <v>1262</v>
          </cell>
        </row>
        <row r="3522">
          <cell r="A3522" t="str">
            <v>1263</v>
          </cell>
        </row>
        <row r="3523">
          <cell r="A3523" t="str">
            <v>1264</v>
          </cell>
        </row>
        <row r="3524">
          <cell r="A3524" t="str">
            <v>1265</v>
          </cell>
        </row>
        <row r="3525">
          <cell r="A3525" t="str">
            <v>1266</v>
          </cell>
        </row>
        <row r="3526">
          <cell r="A3526" t="str">
            <v>1267</v>
          </cell>
        </row>
        <row r="3527">
          <cell r="A3527" t="str">
            <v>1268</v>
          </cell>
        </row>
        <row r="3528">
          <cell r="A3528" t="str">
            <v>1269</v>
          </cell>
        </row>
        <row r="3529">
          <cell r="A3529" t="str">
            <v>126A</v>
          </cell>
        </row>
        <row r="3530">
          <cell r="A3530" t="str">
            <v>126B</v>
          </cell>
        </row>
        <row r="3531">
          <cell r="A3531" t="str">
            <v>126C</v>
          </cell>
        </row>
        <row r="3532">
          <cell r="A3532" t="str">
            <v>126D</v>
          </cell>
        </row>
        <row r="3533">
          <cell r="A3533" t="str">
            <v>126E</v>
          </cell>
        </row>
        <row r="3534">
          <cell r="A3534" t="str">
            <v>126F</v>
          </cell>
        </row>
        <row r="3535">
          <cell r="A3535" t="str">
            <v>1270</v>
          </cell>
        </row>
        <row r="3536">
          <cell r="A3536" t="str">
            <v>1271</v>
          </cell>
        </row>
        <row r="3537">
          <cell r="A3537" t="str">
            <v>1272</v>
          </cell>
        </row>
        <row r="3538">
          <cell r="A3538" t="str">
            <v>1273</v>
          </cell>
        </row>
        <row r="3539">
          <cell r="A3539" t="str">
            <v>1274</v>
          </cell>
        </row>
        <row r="3540">
          <cell r="A3540" t="str">
            <v>1275</v>
          </cell>
        </row>
        <row r="3541">
          <cell r="A3541" t="str">
            <v>1276</v>
          </cell>
        </row>
        <row r="3542">
          <cell r="A3542" t="str">
            <v>1277</v>
          </cell>
        </row>
        <row r="3543">
          <cell r="A3543" t="str">
            <v>1278</v>
          </cell>
        </row>
        <row r="3544">
          <cell r="A3544" t="str">
            <v>1279</v>
          </cell>
        </row>
        <row r="3545">
          <cell r="A3545" t="str">
            <v>127A</v>
          </cell>
        </row>
        <row r="3546">
          <cell r="A3546" t="str">
            <v>127B</v>
          </cell>
        </row>
        <row r="3547">
          <cell r="A3547" t="str">
            <v>127C</v>
          </cell>
        </row>
        <row r="3548">
          <cell r="A3548" t="str">
            <v>127D</v>
          </cell>
        </row>
        <row r="3549">
          <cell r="A3549" t="str">
            <v>127E</v>
          </cell>
        </row>
        <row r="3550">
          <cell r="A3550" t="str">
            <v>127F</v>
          </cell>
        </row>
        <row r="3551">
          <cell r="A3551" t="str">
            <v>1280</v>
          </cell>
        </row>
        <row r="3552">
          <cell r="A3552" t="str">
            <v>1281</v>
          </cell>
        </row>
        <row r="3553">
          <cell r="A3553" t="str">
            <v>1282</v>
          </cell>
        </row>
        <row r="3554">
          <cell r="A3554" t="str">
            <v>1283</v>
          </cell>
        </row>
        <row r="3555">
          <cell r="A3555" t="str">
            <v>1284</v>
          </cell>
        </row>
        <row r="3556">
          <cell r="A3556" t="str">
            <v>1285</v>
          </cell>
        </row>
        <row r="3557">
          <cell r="A3557" t="str">
            <v>1286</v>
          </cell>
        </row>
        <row r="3558">
          <cell r="A3558" t="str">
            <v>1287</v>
          </cell>
        </row>
        <row r="3559">
          <cell r="A3559" t="str">
            <v>1288</v>
          </cell>
        </row>
        <row r="3560">
          <cell r="A3560" t="str">
            <v>1289</v>
          </cell>
        </row>
        <row r="3561">
          <cell r="A3561" t="str">
            <v>128A</v>
          </cell>
        </row>
        <row r="3562">
          <cell r="A3562" t="str">
            <v>128B</v>
          </cell>
        </row>
        <row r="3563">
          <cell r="A3563" t="str">
            <v>1290</v>
          </cell>
        </row>
        <row r="3564">
          <cell r="A3564" t="str">
            <v>1291</v>
          </cell>
        </row>
        <row r="3565">
          <cell r="A3565" t="str">
            <v>1292</v>
          </cell>
        </row>
        <row r="3566">
          <cell r="A3566" t="str">
            <v>1293</v>
          </cell>
        </row>
        <row r="3567">
          <cell r="A3567" t="str">
            <v>1294</v>
          </cell>
        </row>
        <row r="3568">
          <cell r="A3568" t="str">
            <v>1295</v>
          </cell>
        </row>
        <row r="3569">
          <cell r="A3569" t="str">
            <v>1296</v>
          </cell>
        </row>
        <row r="3570">
          <cell r="A3570" t="str">
            <v>1297</v>
          </cell>
        </row>
        <row r="3571">
          <cell r="A3571" t="str">
            <v>1298</v>
          </cell>
        </row>
        <row r="3572">
          <cell r="A3572" t="str">
            <v>1299</v>
          </cell>
        </row>
        <row r="3573">
          <cell r="A3573" t="str">
            <v>1300</v>
          </cell>
        </row>
        <row r="3574">
          <cell r="A3574" t="str">
            <v>1301</v>
          </cell>
        </row>
        <row r="3575">
          <cell r="A3575" t="str">
            <v>1302</v>
          </cell>
        </row>
        <row r="3576">
          <cell r="A3576" t="str">
            <v>1303</v>
          </cell>
        </row>
        <row r="3577">
          <cell r="A3577" t="str">
            <v>1304</v>
          </cell>
        </row>
        <row r="3578">
          <cell r="A3578" t="str">
            <v>1305</v>
          </cell>
        </row>
        <row r="3579">
          <cell r="A3579" t="str">
            <v>1306</v>
          </cell>
        </row>
        <row r="3580">
          <cell r="A3580" t="str">
            <v>1307</v>
          </cell>
        </row>
        <row r="3581">
          <cell r="A3581" t="str">
            <v>1308</v>
          </cell>
        </row>
        <row r="3582">
          <cell r="A3582" t="str">
            <v>1309</v>
          </cell>
        </row>
        <row r="3583">
          <cell r="A3583" t="str">
            <v>130A</v>
          </cell>
        </row>
        <row r="3584">
          <cell r="A3584" t="str">
            <v>130B</v>
          </cell>
        </row>
        <row r="3585">
          <cell r="A3585" t="str">
            <v>130C</v>
          </cell>
        </row>
        <row r="3586">
          <cell r="A3586" t="str">
            <v>130D</v>
          </cell>
        </row>
        <row r="3587">
          <cell r="A3587" t="str">
            <v>130F</v>
          </cell>
        </row>
        <row r="3588">
          <cell r="A3588" t="str">
            <v>1310</v>
          </cell>
        </row>
        <row r="3589">
          <cell r="A3589" t="str">
            <v>1311</v>
          </cell>
        </row>
        <row r="3590">
          <cell r="A3590" t="str">
            <v>1312</v>
          </cell>
        </row>
        <row r="3591">
          <cell r="A3591" t="str">
            <v>1313</v>
          </cell>
        </row>
        <row r="3592">
          <cell r="A3592" t="str">
            <v>1314</v>
          </cell>
        </row>
        <row r="3593">
          <cell r="A3593" t="str">
            <v>1315</v>
          </cell>
        </row>
        <row r="3594">
          <cell r="A3594" t="str">
            <v>1316</v>
          </cell>
        </row>
        <row r="3595">
          <cell r="A3595" t="str">
            <v>1317</v>
          </cell>
        </row>
        <row r="3596">
          <cell r="A3596" t="str">
            <v>1318</v>
          </cell>
        </row>
        <row r="3597">
          <cell r="A3597" t="str">
            <v>1319</v>
          </cell>
        </row>
        <row r="3598">
          <cell r="A3598" t="str">
            <v>1320</v>
          </cell>
        </row>
        <row r="3599">
          <cell r="A3599" t="str">
            <v>1321</v>
          </cell>
        </row>
        <row r="3600">
          <cell r="A3600" t="str">
            <v>1322</v>
          </cell>
        </row>
        <row r="3601">
          <cell r="A3601" t="str">
            <v>1323</v>
          </cell>
        </row>
        <row r="3602">
          <cell r="A3602" t="str">
            <v>1324</v>
          </cell>
        </row>
        <row r="3603">
          <cell r="A3603" t="str">
            <v>1325</v>
          </cell>
        </row>
        <row r="3604">
          <cell r="A3604" t="str">
            <v>1326</v>
          </cell>
        </row>
        <row r="3605">
          <cell r="A3605" t="str">
            <v>1327</v>
          </cell>
        </row>
        <row r="3606">
          <cell r="A3606" t="str">
            <v>1328</v>
          </cell>
        </row>
        <row r="3607">
          <cell r="A3607" t="str">
            <v>1329</v>
          </cell>
        </row>
        <row r="3608">
          <cell r="A3608" t="str">
            <v>132A</v>
          </cell>
        </row>
        <row r="3609">
          <cell r="A3609" t="str">
            <v>132B</v>
          </cell>
        </row>
        <row r="3610">
          <cell r="A3610" t="str">
            <v>132C</v>
          </cell>
        </row>
        <row r="3611">
          <cell r="A3611" t="str">
            <v>132D</v>
          </cell>
        </row>
        <row r="3612">
          <cell r="A3612" t="str">
            <v>132E</v>
          </cell>
        </row>
        <row r="3613">
          <cell r="A3613" t="str">
            <v>132F</v>
          </cell>
        </row>
        <row r="3614">
          <cell r="A3614" t="str">
            <v>1330</v>
          </cell>
        </row>
        <row r="3615">
          <cell r="A3615" t="str">
            <v>1331</v>
          </cell>
        </row>
        <row r="3616">
          <cell r="A3616" t="str">
            <v>1332</v>
          </cell>
        </row>
        <row r="3617">
          <cell r="A3617" t="str">
            <v>1333</v>
          </cell>
        </row>
        <row r="3618">
          <cell r="A3618" t="str">
            <v>1334</v>
          </cell>
        </row>
        <row r="3619">
          <cell r="A3619" t="str">
            <v>1335</v>
          </cell>
        </row>
        <row r="3620">
          <cell r="A3620" t="str">
            <v>1336</v>
          </cell>
        </row>
        <row r="3621">
          <cell r="A3621" t="str">
            <v>1337</v>
          </cell>
        </row>
        <row r="3622">
          <cell r="A3622" t="str">
            <v>1338</v>
          </cell>
        </row>
        <row r="3623">
          <cell r="A3623" t="str">
            <v>1339</v>
          </cell>
        </row>
        <row r="3624">
          <cell r="A3624" t="str">
            <v>1340</v>
          </cell>
        </row>
        <row r="3625">
          <cell r="A3625" t="str">
            <v>1341</v>
          </cell>
        </row>
        <row r="3626">
          <cell r="A3626" t="str">
            <v>1342</v>
          </cell>
        </row>
        <row r="3627">
          <cell r="A3627" t="str">
            <v>1343</v>
          </cell>
        </row>
        <row r="3628">
          <cell r="A3628" t="str">
            <v>1344</v>
          </cell>
        </row>
        <row r="3629">
          <cell r="A3629" t="str">
            <v>1345</v>
          </cell>
        </row>
        <row r="3630">
          <cell r="A3630" t="str">
            <v>1346</v>
          </cell>
        </row>
        <row r="3631">
          <cell r="A3631" t="str">
            <v>1347</v>
          </cell>
        </row>
        <row r="3632">
          <cell r="A3632" t="str">
            <v>1348</v>
          </cell>
        </row>
        <row r="3633">
          <cell r="A3633" t="str">
            <v>1349</v>
          </cell>
        </row>
        <row r="3634">
          <cell r="A3634" t="str">
            <v>1350</v>
          </cell>
        </row>
        <row r="3635">
          <cell r="A3635" t="str">
            <v>1351</v>
          </cell>
        </row>
        <row r="3636">
          <cell r="A3636" t="str">
            <v>1352</v>
          </cell>
        </row>
        <row r="3637">
          <cell r="A3637" t="str">
            <v>1353</v>
          </cell>
        </row>
        <row r="3638">
          <cell r="A3638" t="str">
            <v>1354</v>
          </cell>
        </row>
        <row r="3639">
          <cell r="A3639" t="str">
            <v>1355</v>
          </cell>
        </row>
        <row r="3640">
          <cell r="A3640" t="str">
            <v>1356</v>
          </cell>
        </row>
        <row r="3641">
          <cell r="A3641" t="str">
            <v>1357</v>
          </cell>
        </row>
        <row r="3642">
          <cell r="A3642" t="str">
            <v>1358</v>
          </cell>
        </row>
        <row r="3643">
          <cell r="A3643" t="str">
            <v>1359</v>
          </cell>
        </row>
        <row r="3644">
          <cell r="A3644" t="str">
            <v>1360</v>
          </cell>
        </row>
        <row r="3645">
          <cell r="A3645" t="str">
            <v>1361</v>
          </cell>
        </row>
        <row r="3646">
          <cell r="A3646" t="str">
            <v>1362</v>
          </cell>
        </row>
        <row r="3647">
          <cell r="A3647" t="str">
            <v>1363</v>
          </cell>
        </row>
        <row r="3648">
          <cell r="A3648" t="str">
            <v>1364</v>
          </cell>
        </row>
        <row r="3649">
          <cell r="A3649" t="str">
            <v>1365</v>
          </cell>
        </row>
        <row r="3650">
          <cell r="A3650" t="str">
            <v>1366</v>
          </cell>
        </row>
        <row r="3651">
          <cell r="A3651" t="str">
            <v>1367</v>
          </cell>
        </row>
        <row r="3652">
          <cell r="A3652" t="str">
            <v>1368</v>
          </cell>
        </row>
        <row r="3653">
          <cell r="A3653" t="str">
            <v>1369</v>
          </cell>
        </row>
        <row r="3654">
          <cell r="A3654" t="str">
            <v>1370</v>
          </cell>
        </row>
        <row r="3655">
          <cell r="A3655" t="str">
            <v>1371</v>
          </cell>
        </row>
        <row r="3656">
          <cell r="A3656" t="str">
            <v>1372</v>
          </cell>
        </row>
        <row r="3657">
          <cell r="A3657" t="str">
            <v>1373</v>
          </cell>
        </row>
        <row r="3658">
          <cell r="A3658" t="str">
            <v>1374</v>
          </cell>
        </row>
        <row r="3659">
          <cell r="A3659" t="str">
            <v>1375</v>
          </cell>
        </row>
        <row r="3660">
          <cell r="A3660" t="str">
            <v>1376</v>
          </cell>
        </row>
        <row r="3661">
          <cell r="A3661" t="str">
            <v>1377</v>
          </cell>
        </row>
        <row r="3662">
          <cell r="A3662" t="str">
            <v>1378</v>
          </cell>
        </row>
        <row r="3663">
          <cell r="A3663" t="str">
            <v>1379</v>
          </cell>
        </row>
        <row r="3664">
          <cell r="A3664" t="str">
            <v>1380</v>
          </cell>
        </row>
        <row r="3665">
          <cell r="A3665" t="str">
            <v>1381</v>
          </cell>
        </row>
        <row r="3666">
          <cell r="A3666" t="str">
            <v>1382</v>
          </cell>
        </row>
        <row r="3667">
          <cell r="A3667" t="str">
            <v>1383</v>
          </cell>
        </row>
        <row r="3668">
          <cell r="A3668" t="str">
            <v>1384</v>
          </cell>
        </row>
        <row r="3669">
          <cell r="A3669" t="str">
            <v>1385</v>
          </cell>
        </row>
        <row r="3670">
          <cell r="A3670" t="str">
            <v>1386</v>
          </cell>
        </row>
        <row r="3671">
          <cell r="A3671" t="str">
            <v>1387</v>
          </cell>
        </row>
        <row r="3672">
          <cell r="A3672" t="str">
            <v>1388</v>
          </cell>
        </row>
        <row r="3673">
          <cell r="A3673" t="str">
            <v>1389</v>
          </cell>
        </row>
        <row r="3674">
          <cell r="A3674" t="str">
            <v>138A</v>
          </cell>
        </row>
        <row r="3675">
          <cell r="A3675" t="str">
            <v>138B</v>
          </cell>
        </row>
        <row r="3676">
          <cell r="A3676" t="str">
            <v>138C</v>
          </cell>
        </row>
        <row r="3677">
          <cell r="A3677" t="str">
            <v>138D</v>
          </cell>
        </row>
        <row r="3678">
          <cell r="A3678" t="str">
            <v>138E</v>
          </cell>
        </row>
        <row r="3679">
          <cell r="A3679" t="str">
            <v>138F</v>
          </cell>
        </row>
        <row r="3680">
          <cell r="A3680" t="str">
            <v>1390</v>
          </cell>
        </row>
        <row r="3681">
          <cell r="A3681" t="str">
            <v>1391</v>
          </cell>
        </row>
        <row r="3682">
          <cell r="A3682" t="str">
            <v>1392</v>
          </cell>
        </row>
        <row r="3683">
          <cell r="A3683" t="str">
            <v>1393</v>
          </cell>
        </row>
        <row r="3684">
          <cell r="A3684" t="str">
            <v>1394</v>
          </cell>
        </row>
        <row r="3685">
          <cell r="A3685" t="str">
            <v>1395</v>
          </cell>
        </row>
        <row r="3686">
          <cell r="A3686" t="str">
            <v>1396</v>
          </cell>
        </row>
        <row r="3687">
          <cell r="A3687" t="str">
            <v>1397</v>
          </cell>
        </row>
        <row r="3688">
          <cell r="A3688" t="str">
            <v>1398</v>
          </cell>
        </row>
        <row r="3689">
          <cell r="A3689" t="str">
            <v>1399</v>
          </cell>
        </row>
        <row r="3690">
          <cell r="A3690" t="str">
            <v>1400</v>
          </cell>
        </row>
        <row r="3691">
          <cell r="A3691" t="str">
            <v>1401</v>
          </cell>
        </row>
        <row r="3692">
          <cell r="A3692" t="str">
            <v>1402</v>
          </cell>
        </row>
        <row r="3693">
          <cell r="A3693" t="str">
            <v>1403</v>
          </cell>
        </row>
        <row r="3694">
          <cell r="A3694" t="str">
            <v>1404</v>
          </cell>
        </row>
        <row r="3695">
          <cell r="A3695" t="str">
            <v>1405</v>
          </cell>
        </row>
        <row r="3696">
          <cell r="A3696" t="str">
            <v>1406</v>
          </cell>
        </row>
        <row r="3697">
          <cell r="A3697" t="str">
            <v>1407</v>
          </cell>
        </row>
        <row r="3698">
          <cell r="A3698" t="str">
            <v>1408</v>
          </cell>
        </row>
        <row r="3699">
          <cell r="A3699" t="str">
            <v>1409</v>
          </cell>
        </row>
        <row r="3700">
          <cell r="A3700" t="str">
            <v>140A</v>
          </cell>
        </row>
        <row r="3701">
          <cell r="A3701" t="str">
            <v>140B</v>
          </cell>
        </row>
        <row r="3702">
          <cell r="A3702" t="str">
            <v>140C</v>
          </cell>
        </row>
        <row r="3703">
          <cell r="A3703" t="str">
            <v>140D</v>
          </cell>
        </row>
        <row r="3704">
          <cell r="A3704" t="str">
            <v>140E</v>
          </cell>
        </row>
        <row r="3705">
          <cell r="A3705" t="str">
            <v>140F</v>
          </cell>
        </row>
        <row r="3706">
          <cell r="A3706" t="str">
            <v>1410</v>
          </cell>
        </row>
        <row r="3707">
          <cell r="A3707" t="str">
            <v>1411</v>
          </cell>
        </row>
        <row r="3708">
          <cell r="A3708" t="str">
            <v>1412</v>
          </cell>
        </row>
        <row r="3709">
          <cell r="A3709" t="str">
            <v>1413</v>
          </cell>
        </row>
        <row r="3710">
          <cell r="A3710" t="str">
            <v>1414</v>
          </cell>
        </row>
        <row r="3711">
          <cell r="A3711" t="str">
            <v>1415</v>
          </cell>
        </row>
        <row r="3712">
          <cell r="A3712" t="str">
            <v>1416</v>
          </cell>
        </row>
        <row r="3713">
          <cell r="A3713" t="str">
            <v>1417</v>
          </cell>
        </row>
        <row r="3714">
          <cell r="A3714" t="str">
            <v>1418</v>
          </cell>
        </row>
        <row r="3715">
          <cell r="A3715" t="str">
            <v>1419</v>
          </cell>
        </row>
        <row r="3716">
          <cell r="A3716" t="str">
            <v>141A</v>
          </cell>
        </row>
        <row r="3717">
          <cell r="A3717" t="str">
            <v>141B</v>
          </cell>
        </row>
        <row r="3718">
          <cell r="A3718" t="str">
            <v>141C</v>
          </cell>
        </row>
        <row r="3719">
          <cell r="A3719" t="str">
            <v>141D</v>
          </cell>
        </row>
        <row r="3720">
          <cell r="A3720" t="str">
            <v>141E</v>
          </cell>
        </row>
        <row r="3721">
          <cell r="A3721" t="str">
            <v>141F</v>
          </cell>
        </row>
        <row r="3722">
          <cell r="A3722" t="str">
            <v>1420</v>
          </cell>
        </row>
        <row r="3723">
          <cell r="A3723" t="str">
            <v>1421</v>
          </cell>
        </row>
        <row r="3724">
          <cell r="A3724" t="str">
            <v>1422</v>
          </cell>
        </row>
        <row r="3725">
          <cell r="A3725" t="str">
            <v>1423</v>
          </cell>
        </row>
        <row r="3726">
          <cell r="A3726" t="str">
            <v>1424</v>
          </cell>
        </row>
        <row r="3727">
          <cell r="A3727" t="str">
            <v>1425</v>
          </cell>
        </row>
        <row r="3728">
          <cell r="A3728" t="str">
            <v>1426</v>
          </cell>
        </row>
        <row r="3729">
          <cell r="A3729" t="str">
            <v>1427</v>
          </cell>
        </row>
        <row r="3730">
          <cell r="A3730" t="str">
            <v>1428</v>
          </cell>
        </row>
        <row r="3731">
          <cell r="A3731" t="str">
            <v>1429</v>
          </cell>
        </row>
        <row r="3732">
          <cell r="A3732" t="str">
            <v>142A</v>
          </cell>
        </row>
        <row r="3733">
          <cell r="A3733" t="str">
            <v>142B</v>
          </cell>
        </row>
        <row r="3734">
          <cell r="A3734" t="str">
            <v>142C</v>
          </cell>
        </row>
        <row r="3735">
          <cell r="A3735" t="str">
            <v>142D</v>
          </cell>
        </row>
        <row r="3736">
          <cell r="A3736" t="str">
            <v>142E</v>
          </cell>
        </row>
        <row r="3737">
          <cell r="A3737" t="str">
            <v>142F</v>
          </cell>
        </row>
        <row r="3738">
          <cell r="A3738" t="str">
            <v>1430</v>
          </cell>
        </row>
        <row r="3739">
          <cell r="A3739" t="str">
            <v>1431</v>
          </cell>
        </row>
        <row r="3740">
          <cell r="A3740" t="str">
            <v>1432</v>
          </cell>
        </row>
        <row r="3741">
          <cell r="A3741" t="str">
            <v>1433</v>
          </cell>
        </row>
        <row r="3742">
          <cell r="A3742" t="str">
            <v>1434</v>
          </cell>
        </row>
        <row r="3743">
          <cell r="A3743" t="str">
            <v>1435</v>
          </cell>
        </row>
        <row r="3744">
          <cell r="A3744" t="str">
            <v>1436</v>
          </cell>
        </row>
        <row r="3745">
          <cell r="A3745" t="str">
            <v>1437</v>
          </cell>
        </row>
        <row r="3746">
          <cell r="A3746" t="str">
            <v>1438</v>
          </cell>
        </row>
        <row r="3747">
          <cell r="A3747" t="str">
            <v>1439</v>
          </cell>
        </row>
        <row r="3748">
          <cell r="A3748" t="str">
            <v>143A</v>
          </cell>
        </row>
        <row r="3749">
          <cell r="A3749" t="str">
            <v>143B</v>
          </cell>
        </row>
        <row r="3750">
          <cell r="A3750" t="str">
            <v>143D</v>
          </cell>
        </row>
        <row r="3751">
          <cell r="A3751" t="str">
            <v>143E</v>
          </cell>
        </row>
        <row r="3752">
          <cell r="A3752" t="str">
            <v>143F</v>
          </cell>
        </row>
        <row r="3753">
          <cell r="A3753" t="str">
            <v>1440</v>
          </cell>
        </row>
        <row r="3754">
          <cell r="A3754" t="str">
            <v>1441</v>
          </cell>
        </row>
        <row r="3755">
          <cell r="A3755" t="str">
            <v>1442</v>
          </cell>
        </row>
        <row r="3756">
          <cell r="A3756" t="str">
            <v>1443</v>
          </cell>
        </row>
        <row r="3757">
          <cell r="A3757" t="str">
            <v>1444</v>
          </cell>
        </row>
        <row r="3758">
          <cell r="A3758" t="str">
            <v>1445</v>
          </cell>
        </row>
        <row r="3759">
          <cell r="A3759" t="str">
            <v>1446</v>
          </cell>
        </row>
        <row r="3760">
          <cell r="A3760" t="str">
            <v>1447</v>
          </cell>
        </row>
        <row r="3761">
          <cell r="A3761" t="str">
            <v>1448</v>
          </cell>
        </row>
        <row r="3762">
          <cell r="A3762" t="str">
            <v>1449</v>
          </cell>
        </row>
        <row r="3763">
          <cell r="A3763" t="str">
            <v>144A</v>
          </cell>
        </row>
        <row r="3764">
          <cell r="A3764" t="str">
            <v>144B</v>
          </cell>
        </row>
        <row r="3765">
          <cell r="A3765" t="str">
            <v>144C</v>
          </cell>
        </row>
        <row r="3766">
          <cell r="A3766" t="str">
            <v>1450</v>
          </cell>
        </row>
        <row r="3767">
          <cell r="A3767" t="str">
            <v>1451</v>
          </cell>
        </row>
        <row r="3768">
          <cell r="A3768" t="str">
            <v>1452</v>
          </cell>
        </row>
        <row r="3769">
          <cell r="A3769" t="str">
            <v>1453</v>
          </cell>
        </row>
        <row r="3770">
          <cell r="A3770" t="str">
            <v>1454</v>
          </cell>
        </row>
        <row r="3771">
          <cell r="A3771" t="str">
            <v>1455</v>
          </cell>
        </row>
        <row r="3772">
          <cell r="A3772" t="str">
            <v>1456</v>
          </cell>
        </row>
        <row r="3773">
          <cell r="A3773" t="str">
            <v>1457</v>
          </cell>
        </row>
        <row r="3774">
          <cell r="A3774" t="str">
            <v>1458</v>
          </cell>
        </row>
        <row r="3775">
          <cell r="A3775" t="str">
            <v>1459</v>
          </cell>
        </row>
        <row r="3776">
          <cell r="A3776" t="str">
            <v>145A</v>
          </cell>
        </row>
        <row r="3777">
          <cell r="A3777" t="str">
            <v>145B</v>
          </cell>
        </row>
        <row r="3778">
          <cell r="A3778" t="str">
            <v>145C</v>
          </cell>
        </row>
        <row r="3779">
          <cell r="A3779" t="str">
            <v>145D</v>
          </cell>
        </row>
        <row r="3780">
          <cell r="A3780" t="str">
            <v>145E</v>
          </cell>
        </row>
        <row r="3781">
          <cell r="A3781" t="str">
            <v>145F</v>
          </cell>
        </row>
        <row r="3782">
          <cell r="A3782" t="str">
            <v>1460</v>
          </cell>
        </row>
        <row r="3783">
          <cell r="A3783" t="str">
            <v>1461</v>
          </cell>
        </row>
        <row r="3784">
          <cell r="A3784" t="str">
            <v>1462</v>
          </cell>
        </row>
        <row r="3785">
          <cell r="A3785" t="str">
            <v>1463</v>
          </cell>
        </row>
        <row r="3786">
          <cell r="A3786" t="str">
            <v>1464</v>
          </cell>
        </row>
        <row r="3787">
          <cell r="A3787" t="str">
            <v>1465</v>
          </cell>
        </row>
        <row r="3788">
          <cell r="A3788" t="str">
            <v>1466</v>
          </cell>
        </row>
        <row r="3789">
          <cell r="A3789" t="str">
            <v>1467</v>
          </cell>
        </row>
        <row r="3790">
          <cell r="A3790" t="str">
            <v>1468</v>
          </cell>
        </row>
        <row r="3791">
          <cell r="A3791" t="str">
            <v>1469</v>
          </cell>
        </row>
        <row r="3792">
          <cell r="A3792" t="str">
            <v>1470</v>
          </cell>
        </row>
        <row r="3793">
          <cell r="A3793" t="str">
            <v>1471</v>
          </cell>
        </row>
        <row r="3794">
          <cell r="A3794" t="str">
            <v>1472</v>
          </cell>
        </row>
        <row r="3795">
          <cell r="A3795" t="str">
            <v>1473</v>
          </cell>
        </row>
        <row r="3796">
          <cell r="A3796" t="str">
            <v>1474</v>
          </cell>
        </row>
        <row r="3797">
          <cell r="A3797" t="str">
            <v>1475</v>
          </cell>
        </row>
        <row r="3798">
          <cell r="A3798" t="str">
            <v>1476</v>
          </cell>
        </row>
        <row r="3799">
          <cell r="A3799" t="str">
            <v>1477</v>
          </cell>
        </row>
        <row r="3800">
          <cell r="A3800" t="str">
            <v>1478</v>
          </cell>
        </row>
        <row r="3801">
          <cell r="A3801" t="str">
            <v>1479</v>
          </cell>
        </row>
        <row r="3802">
          <cell r="A3802" t="str">
            <v>1480</v>
          </cell>
        </row>
        <row r="3803">
          <cell r="A3803" t="str">
            <v>1481</v>
          </cell>
        </row>
        <row r="3804">
          <cell r="A3804" t="str">
            <v>1482</v>
          </cell>
        </row>
        <row r="3805">
          <cell r="A3805" t="str">
            <v>1483</v>
          </cell>
        </row>
        <row r="3806">
          <cell r="A3806" t="str">
            <v>1484</v>
          </cell>
        </row>
        <row r="3807">
          <cell r="A3807" t="str">
            <v>1485</v>
          </cell>
        </row>
        <row r="3808">
          <cell r="A3808" t="str">
            <v>1486</v>
          </cell>
        </row>
        <row r="3809">
          <cell r="A3809" t="str">
            <v>1487</v>
          </cell>
        </row>
        <row r="3810">
          <cell r="A3810" t="str">
            <v>1488</v>
          </cell>
        </row>
        <row r="3811">
          <cell r="A3811" t="str">
            <v>1489</v>
          </cell>
        </row>
        <row r="3812">
          <cell r="A3812" t="str">
            <v>1490</v>
          </cell>
        </row>
        <row r="3813">
          <cell r="A3813" t="str">
            <v>1491</v>
          </cell>
        </row>
        <row r="3814">
          <cell r="A3814" t="str">
            <v>1492</v>
          </cell>
        </row>
        <row r="3815">
          <cell r="A3815" t="str">
            <v>1493</v>
          </cell>
        </row>
        <row r="3816">
          <cell r="A3816" t="str">
            <v>1494</v>
          </cell>
        </row>
        <row r="3817">
          <cell r="A3817" t="str">
            <v>1495</v>
          </cell>
        </row>
        <row r="3818">
          <cell r="A3818" t="str">
            <v>1496</v>
          </cell>
        </row>
        <row r="3819">
          <cell r="A3819" t="str">
            <v>1497</v>
          </cell>
        </row>
        <row r="3820">
          <cell r="A3820" t="str">
            <v>1498</v>
          </cell>
        </row>
        <row r="3821">
          <cell r="A3821" t="str">
            <v>1499</v>
          </cell>
        </row>
        <row r="3822">
          <cell r="A3822" t="str">
            <v>1500</v>
          </cell>
        </row>
        <row r="3823">
          <cell r="A3823" t="str">
            <v>1501</v>
          </cell>
        </row>
        <row r="3824">
          <cell r="A3824" t="str">
            <v>1502</v>
          </cell>
        </row>
        <row r="3825">
          <cell r="A3825" t="str">
            <v>1503</v>
          </cell>
        </row>
        <row r="3826">
          <cell r="A3826" t="str">
            <v>1504</v>
          </cell>
        </row>
        <row r="3827">
          <cell r="A3827" t="str">
            <v>1505</v>
          </cell>
        </row>
        <row r="3828">
          <cell r="A3828" t="str">
            <v>1506</v>
          </cell>
        </row>
        <row r="3829">
          <cell r="A3829" t="str">
            <v>1507</v>
          </cell>
        </row>
        <row r="3830">
          <cell r="A3830" t="str">
            <v>1508</v>
          </cell>
        </row>
        <row r="3831">
          <cell r="A3831" t="str">
            <v>1509</v>
          </cell>
        </row>
        <row r="3832">
          <cell r="A3832" t="str">
            <v>150A</v>
          </cell>
        </row>
        <row r="3833">
          <cell r="A3833" t="str">
            <v>150B</v>
          </cell>
        </row>
        <row r="3834">
          <cell r="A3834" t="str">
            <v>150C</v>
          </cell>
        </row>
        <row r="3835">
          <cell r="A3835" t="str">
            <v>150D</v>
          </cell>
        </row>
        <row r="3836">
          <cell r="A3836" t="str">
            <v>150E</v>
          </cell>
        </row>
        <row r="3837">
          <cell r="A3837" t="str">
            <v>150F</v>
          </cell>
        </row>
        <row r="3838">
          <cell r="A3838" t="str">
            <v>1510</v>
          </cell>
        </row>
        <row r="3839">
          <cell r="A3839" t="str">
            <v>1511</v>
          </cell>
        </row>
        <row r="3840">
          <cell r="A3840" t="str">
            <v>1512</v>
          </cell>
        </row>
        <row r="3841">
          <cell r="A3841" t="str">
            <v>1513</v>
          </cell>
        </row>
        <row r="3842">
          <cell r="A3842" t="str">
            <v>1514</v>
          </cell>
        </row>
        <row r="3843">
          <cell r="A3843" t="str">
            <v>1515</v>
          </cell>
        </row>
        <row r="3844">
          <cell r="A3844" t="str">
            <v>1516</v>
          </cell>
        </row>
        <row r="3845">
          <cell r="A3845" t="str">
            <v>1517</v>
          </cell>
        </row>
        <row r="3846">
          <cell r="A3846" t="str">
            <v>1518</v>
          </cell>
        </row>
        <row r="3847">
          <cell r="A3847" t="str">
            <v>1519</v>
          </cell>
        </row>
        <row r="3848">
          <cell r="A3848" t="str">
            <v>151A</v>
          </cell>
        </row>
        <row r="3849">
          <cell r="A3849" t="str">
            <v>151B</v>
          </cell>
        </row>
        <row r="3850">
          <cell r="A3850" t="str">
            <v>151C</v>
          </cell>
        </row>
        <row r="3851">
          <cell r="A3851" t="str">
            <v>1520</v>
          </cell>
        </row>
        <row r="3852">
          <cell r="A3852" t="str">
            <v>1521</v>
          </cell>
        </row>
        <row r="3853">
          <cell r="A3853" t="str">
            <v>1522</v>
          </cell>
        </row>
        <row r="3854">
          <cell r="A3854" t="str">
            <v>1523</v>
          </cell>
        </row>
        <row r="3855">
          <cell r="A3855" t="str">
            <v>1524</v>
          </cell>
        </row>
        <row r="3856">
          <cell r="A3856" t="str">
            <v>1525</v>
          </cell>
        </row>
        <row r="3857">
          <cell r="A3857" t="str">
            <v>1526</v>
          </cell>
        </row>
        <row r="3858">
          <cell r="A3858" t="str">
            <v>1527</v>
          </cell>
        </row>
        <row r="3859">
          <cell r="A3859" t="str">
            <v>1528</v>
          </cell>
        </row>
        <row r="3860">
          <cell r="A3860" t="str">
            <v>1529</v>
          </cell>
        </row>
        <row r="3861">
          <cell r="A3861" t="str">
            <v>152A</v>
          </cell>
        </row>
        <row r="3862">
          <cell r="A3862" t="str">
            <v>152B</v>
          </cell>
        </row>
        <row r="3863">
          <cell r="A3863" t="str">
            <v>152C</v>
          </cell>
        </row>
        <row r="3864">
          <cell r="A3864" t="str">
            <v>152D</v>
          </cell>
        </row>
        <row r="3865">
          <cell r="A3865" t="str">
            <v>152E</v>
          </cell>
        </row>
        <row r="3866">
          <cell r="A3866" t="str">
            <v>1530</v>
          </cell>
        </row>
        <row r="3867">
          <cell r="A3867" t="str">
            <v>1531</v>
          </cell>
        </row>
        <row r="3868">
          <cell r="A3868" t="str">
            <v>1532</v>
          </cell>
        </row>
        <row r="3869">
          <cell r="A3869" t="str">
            <v>1533</v>
          </cell>
        </row>
        <row r="3870">
          <cell r="A3870" t="str">
            <v>1534</v>
          </cell>
        </row>
        <row r="3871">
          <cell r="A3871" t="str">
            <v>1535</v>
          </cell>
        </row>
        <row r="3872">
          <cell r="A3872" t="str">
            <v>1536</v>
          </cell>
        </row>
        <row r="3873">
          <cell r="A3873" t="str">
            <v>1537</v>
          </cell>
        </row>
        <row r="3874">
          <cell r="A3874" t="str">
            <v>1538</v>
          </cell>
        </row>
        <row r="3875">
          <cell r="A3875" t="str">
            <v>1539</v>
          </cell>
        </row>
        <row r="3876">
          <cell r="A3876" t="str">
            <v>1540</v>
          </cell>
        </row>
        <row r="3877">
          <cell r="A3877" t="str">
            <v>1541</v>
          </cell>
        </row>
        <row r="3878">
          <cell r="A3878" t="str">
            <v>1542</v>
          </cell>
        </row>
        <row r="3879">
          <cell r="A3879" t="str">
            <v>1543</v>
          </cell>
        </row>
        <row r="3880">
          <cell r="A3880" t="str">
            <v>1544</v>
          </cell>
        </row>
        <row r="3881">
          <cell r="A3881" t="str">
            <v>1545</v>
          </cell>
        </row>
        <row r="3882">
          <cell r="A3882" t="str">
            <v>1546</v>
          </cell>
        </row>
        <row r="3883">
          <cell r="A3883" t="str">
            <v>1547</v>
          </cell>
        </row>
        <row r="3884">
          <cell r="A3884" t="str">
            <v>1548</v>
          </cell>
        </row>
        <row r="3885">
          <cell r="A3885" t="str">
            <v>1549</v>
          </cell>
        </row>
        <row r="3886">
          <cell r="A3886" t="str">
            <v>1550</v>
          </cell>
        </row>
        <row r="3887">
          <cell r="A3887" t="str">
            <v>1551</v>
          </cell>
        </row>
        <row r="3888">
          <cell r="A3888" t="str">
            <v>1552</v>
          </cell>
        </row>
        <row r="3889">
          <cell r="A3889" t="str">
            <v>1553</v>
          </cell>
        </row>
        <row r="3890">
          <cell r="A3890" t="str">
            <v>1554</v>
          </cell>
        </row>
        <row r="3891">
          <cell r="A3891" t="str">
            <v>1555</v>
          </cell>
        </row>
        <row r="3892">
          <cell r="A3892" t="str">
            <v>1556</v>
          </cell>
        </row>
        <row r="3893">
          <cell r="A3893" t="str">
            <v>1557</v>
          </cell>
        </row>
        <row r="3894">
          <cell r="A3894" t="str">
            <v>1558</v>
          </cell>
        </row>
        <row r="3895">
          <cell r="A3895" t="str">
            <v>1561</v>
          </cell>
        </row>
        <row r="3896">
          <cell r="A3896" t="str">
            <v>1562</v>
          </cell>
        </row>
        <row r="3897">
          <cell r="A3897" t="str">
            <v>1563</v>
          </cell>
        </row>
        <row r="3898">
          <cell r="A3898" t="str">
            <v>1564</v>
          </cell>
        </row>
        <row r="3899">
          <cell r="A3899" t="str">
            <v>1565</v>
          </cell>
        </row>
        <row r="3900">
          <cell r="A3900" t="str">
            <v>1566</v>
          </cell>
        </row>
        <row r="3901">
          <cell r="A3901" t="str">
            <v>1567</v>
          </cell>
        </row>
        <row r="3902">
          <cell r="A3902" t="str">
            <v>1568</v>
          </cell>
        </row>
        <row r="3903">
          <cell r="A3903" t="str">
            <v>1569</v>
          </cell>
        </row>
        <row r="3904">
          <cell r="A3904" t="str">
            <v>1570</v>
          </cell>
        </row>
        <row r="3905">
          <cell r="A3905" t="str">
            <v>1571</v>
          </cell>
        </row>
        <row r="3906">
          <cell r="A3906" t="str">
            <v>1572</v>
          </cell>
        </row>
        <row r="3907">
          <cell r="A3907" t="str">
            <v>1573</v>
          </cell>
        </row>
        <row r="3908">
          <cell r="A3908" t="str">
            <v>1574</v>
          </cell>
        </row>
        <row r="3909">
          <cell r="A3909" t="str">
            <v>1575</v>
          </cell>
        </row>
        <row r="3910">
          <cell r="A3910" t="str">
            <v>1576</v>
          </cell>
        </row>
        <row r="3911">
          <cell r="A3911" t="str">
            <v>1577</v>
          </cell>
        </row>
        <row r="3912">
          <cell r="A3912" t="str">
            <v>1578</v>
          </cell>
        </row>
        <row r="3913">
          <cell r="A3913" t="str">
            <v>1579</v>
          </cell>
        </row>
        <row r="3914">
          <cell r="A3914" t="str">
            <v>1580</v>
          </cell>
        </row>
        <row r="3915">
          <cell r="A3915" t="str">
            <v>1581</v>
          </cell>
        </row>
        <row r="3916">
          <cell r="A3916" t="str">
            <v>1582</v>
          </cell>
        </row>
        <row r="3917">
          <cell r="A3917" t="str">
            <v>1583</v>
          </cell>
        </row>
        <row r="3918">
          <cell r="A3918" t="str">
            <v>1584</v>
          </cell>
        </row>
        <row r="3919">
          <cell r="A3919" t="str">
            <v>1585</v>
          </cell>
        </row>
        <row r="3920">
          <cell r="A3920" t="str">
            <v>1586</v>
          </cell>
        </row>
        <row r="3921">
          <cell r="A3921" t="str">
            <v>1587</v>
          </cell>
        </row>
        <row r="3922">
          <cell r="A3922" t="str">
            <v>1588</v>
          </cell>
        </row>
        <row r="3923">
          <cell r="A3923" t="str">
            <v>1589</v>
          </cell>
        </row>
        <row r="3924">
          <cell r="A3924" t="str">
            <v>1590</v>
          </cell>
        </row>
        <row r="3925">
          <cell r="A3925" t="str">
            <v>1591</v>
          </cell>
        </row>
        <row r="3926">
          <cell r="A3926" t="str">
            <v>1592</v>
          </cell>
        </row>
        <row r="3927">
          <cell r="A3927" t="str">
            <v>1593</v>
          </cell>
        </row>
        <row r="3928">
          <cell r="A3928" t="str">
            <v>1594</v>
          </cell>
        </row>
        <row r="3929">
          <cell r="A3929" t="str">
            <v>1595</v>
          </cell>
        </row>
        <row r="3930">
          <cell r="A3930" t="str">
            <v>1600</v>
          </cell>
        </row>
        <row r="3931">
          <cell r="A3931" t="str">
            <v>1601</v>
          </cell>
        </row>
        <row r="3932">
          <cell r="A3932" t="str">
            <v>1602</v>
          </cell>
        </row>
        <row r="3933">
          <cell r="A3933" t="str">
            <v>1603</v>
          </cell>
        </row>
        <row r="3934">
          <cell r="A3934" t="str">
            <v>1604</v>
          </cell>
        </row>
        <row r="3935">
          <cell r="A3935" t="str">
            <v>1605</v>
          </cell>
        </row>
        <row r="3936">
          <cell r="A3936" t="str">
            <v>1606</v>
          </cell>
        </row>
        <row r="3937">
          <cell r="A3937" t="str">
            <v>1607</v>
          </cell>
        </row>
        <row r="3938">
          <cell r="A3938" t="str">
            <v>1608</v>
          </cell>
        </row>
        <row r="3939">
          <cell r="A3939" t="str">
            <v>1609</v>
          </cell>
        </row>
        <row r="3940">
          <cell r="A3940" t="str">
            <v>160A</v>
          </cell>
        </row>
        <row r="3941">
          <cell r="A3941" t="str">
            <v>160B</v>
          </cell>
        </row>
        <row r="3942">
          <cell r="A3942" t="str">
            <v>160C</v>
          </cell>
        </row>
        <row r="3943">
          <cell r="A3943" t="str">
            <v>160E</v>
          </cell>
        </row>
        <row r="3944">
          <cell r="A3944" t="str">
            <v>160F</v>
          </cell>
        </row>
        <row r="3945">
          <cell r="A3945" t="str">
            <v>161A</v>
          </cell>
        </row>
        <row r="3946">
          <cell r="A3946" t="str">
            <v>161B</v>
          </cell>
        </row>
        <row r="3947">
          <cell r="A3947" t="str">
            <v>1621</v>
          </cell>
        </row>
        <row r="3948">
          <cell r="A3948" t="str">
            <v>1622</v>
          </cell>
        </row>
        <row r="3949">
          <cell r="A3949" t="str">
            <v>1623</v>
          </cell>
        </row>
        <row r="3950">
          <cell r="A3950" t="str">
            <v>1624</v>
          </cell>
        </row>
        <row r="3951">
          <cell r="A3951" t="str">
            <v>1625</v>
          </cell>
        </row>
        <row r="3952">
          <cell r="A3952" t="str">
            <v>1626</v>
          </cell>
        </row>
        <row r="3953">
          <cell r="A3953" t="str">
            <v>1627</v>
          </cell>
        </row>
        <row r="3954">
          <cell r="A3954" t="str">
            <v>1628</v>
          </cell>
        </row>
        <row r="3955">
          <cell r="A3955" t="str">
            <v>1629</v>
          </cell>
        </row>
        <row r="3956">
          <cell r="A3956" t="str">
            <v>162A</v>
          </cell>
        </row>
        <row r="3957">
          <cell r="A3957" t="str">
            <v>162B</v>
          </cell>
        </row>
        <row r="3958">
          <cell r="A3958" t="str">
            <v>162C</v>
          </cell>
        </row>
        <row r="3959">
          <cell r="A3959" t="str">
            <v>162D</v>
          </cell>
        </row>
        <row r="3960">
          <cell r="A3960" t="str">
            <v>162E</v>
          </cell>
        </row>
        <row r="3961">
          <cell r="A3961" t="str">
            <v>162F</v>
          </cell>
        </row>
        <row r="3962">
          <cell r="A3962" t="str">
            <v>1630</v>
          </cell>
        </row>
        <row r="3963">
          <cell r="A3963" t="str">
            <v>1631</v>
          </cell>
        </row>
        <row r="3964">
          <cell r="A3964" t="str">
            <v>1632</v>
          </cell>
        </row>
        <row r="3965">
          <cell r="A3965" t="str">
            <v>1633</v>
          </cell>
        </row>
        <row r="3966">
          <cell r="A3966" t="str">
            <v>1634</v>
          </cell>
        </row>
        <row r="3967">
          <cell r="A3967" t="str">
            <v>1635</v>
          </cell>
        </row>
        <row r="3968">
          <cell r="A3968" t="str">
            <v>1636</v>
          </cell>
        </row>
        <row r="3969">
          <cell r="A3969" t="str">
            <v>1637</v>
          </cell>
        </row>
        <row r="3970">
          <cell r="A3970" t="str">
            <v>1638</v>
          </cell>
        </row>
        <row r="3971">
          <cell r="A3971" t="str">
            <v>1639</v>
          </cell>
        </row>
        <row r="3972">
          <cell r="A3972" t="str">
            <v>163A</v>
          </cell>
        </row>
        <row r="3973">
          <cell r="A3973" t="str">
            <v>163B</v>
          </cell>
        </row>
        <row r="3974">
          <cell r="A3974" t="str">
            <v>163C</v>
          </cell>
        </row>
        <row r="3975">
          <cell r="A3975" t="str">
            <v>163D</v>
          </cell>
        </row>
        <row r="3976">
          <cell r="A3976" t="str">
            <v>163E</v>
          </cell>
        </row>
        <row r="3977">
          <cell r="A3977" t="str">
            <v>163F</v>
          </cell>
        </row>
        <row r="3978">
          <cell r="A3978" t="str">
            <v>1640</v>
          </cell>
        </row>
        <row r="3979">
          <cell r="A3979" t="str">
            <v>1641</v>
          </cell>
        </row>
        <row r="3980">
          <cell r="A3980" t="str">
            <v>1642</v>
          </cell>
        </row>
        <row r="3981">
          <cell r="A3981" t="str">
            <v>1643</v>
          </cell>
        </row>
        <row r="3982">
          <cell r="A3982" t="str">
            <v>1644</v>
          </cell>
        </row>
        <row r="3983">
          <cell r="A3983" t="str">
            <v>1645</v>
          </cell>
        </row>
        <row r="3984">
          <cell r="A3984" t="str">
            <v>1646</v>
          </cell>
        </row>
        <row r="3985">
          <cell r="A3985" t="str">
            <v>1647</v>
          </cell>
        </row>
        <row r="3986">
          <cell r="A3986" t="str">
            <v>1648</v>
          </cell>
        </row>
        <row r="3987">
          <cell r="A3987" t="str">
            <v>1649</v>
          </cell>
        </row>
        <row r="3988">
          <cell r="A3988" t="str">
            <v>164A</v>
          </cell>
        </row>
        <row r="3989">
          <cell r="A3989" t="str">
            <v>164B</v>
          </cell>
        </row>
        <row r="3990">
          <cell r="A3990" t="str">
            <v>164C</v>
          </cell>
        </row>
        <row r="3991">
          <cell r="A3991" t="str">
            <v>164D</v>
          </cell>
        </row>
        <row r="3992">
          <cell r="A3992" t="str">
            <v>164E</v>
          </cell>
        </row>
        <row r="3993">
          <cell r="A3993" t="str">
            <v>1650</v>
          </cell>
        </row>
        <row r="3994">
          <cell r="A3994" t="str">
            <v>1651</v>
          </cell>
        </row>
        <row r="3995">
          <cell r="A3995" t="str">
            <v>1652</v>
          </cell>
        </row>
        <row r="3996">
          <cell r="A3996" t="str">
            <v>1653</v>
          </cell>
        </row>
        <row r="3997">
          <cell r="A3997" t="str">
            <v>1654</v>
          </cell>
        </row>
        <row r="3998">
          <cell r="A3998" t="str">
            <v>1655</v>
          </cell>
        </row>
        <row r="3999">
          <cell r="A3999" t="str">
            <v>1656</v>
          </cell>
        </row>
        <row r="4000">
          <cell r="A4000" t="str">
            <v>1657</v>
          </cell>
        </row>
        <row r="4001">
          <cell r="A4001" t="str">
            <v>1658</v>
          </cell>
        </row>
        <row r="4002">
          <cell r="A4002" t="str">
            <v>1659</v>
          </cell>
        </row>
        <row r="4003">
          <cell r="A4003" t="str">
            <v>165A</v>
          </cell>
        </row>
        <row r="4004">
          <cell r="A4004" t="str">
            <v>165B</v>
          </cell>
        </row>
        <row r="4005">
          <cell r="A4005" t="str">
            <v>165C</v>
          </cell>
        </row>
        <row r="4006">
          <cell r="A4006" t="str">
            <v>165D</v>
          </cell>
        </row>
        <row r="4007">
          <cell r="A4007" t="str">
            <v>165E</v>
          </cell>
        </row>
        <row r="4008">
          <cell r="A4008" t="str">
            <v>165F</v>
          </cell>
        </row>
        <row r="4009">
          <cell r="A4009" t="str">
            <v>1660</v>
          </cell>
        </row>
        <row r="4010">
          <cell r="A4010" t="str">
            <v>1661</v>
          </cell>
        </row>
        <row r="4011">
          <cell r="A4011" t="str">
            <v>1662</v>
          </cell>
        </row>
        <row r="4012">
          <cell r="A4012" t="str">
            <v>1663</v>
          </cell>
        </row>
        <row r="4013">
          <cell r="A4013" t="str">
            <v>1664</v>
          </cell>
        </row>
        <row r="4014">
          <cell r="A4014" t="str">
            <v>1665</v>
          </cell>
        </row>
        <row r="4015">
          <cell r="A4015" t="str">
            <v>1666</v>
          </cell>
        </row>
        <row r="4016">
          <cell r="A4016" t="str">
            <v>1667</v>
          </cell>
        </row>
        <row r="4017">
          <cell r="A4017" t="str">
            <v>1668</v>
          </cell>
        </row>
        <row r="4018">
          <cell r="A4018" t="str">
            <v>1669</v>
          </cell>
        </row>
        <row r="4019">
          <cell r="A4019" t="str">
            <v>166A</v>
          </cell>
        </row>
        <row r="4020">
          <cell r="A4020" t="str">
            <v>166B</v>
          </cell>
        </row>
        <row r="4021">
          <cell r="A4021" t="str">
            <v>1670</v>
          </cell>
        </row>
        <row r="4022">
          <cell r="A4022" t="str">
            <v>1671</v>
          </cell>
        </row>
        <row r="4023">
          <cell r="A4023" t="str">
            <v>1672</v>
          </cell>
        </row>
        <row r="4024">
          <cell r="A4024" t="str">
            <v>1673</v>
          </cell>
        </row>
        <row r="4025">
          <cell r="A4025" t="str">
            <v>1674</v>
          </cell>
        </row>
        <row r="4026">
          <cell r="A4026" t="str">
            <v>1675</v>
          </cell>
        </row>
        <row r="4027">
          <cell r="A4027" t="str">
            <v>1676</v>
          </cell>
        </row>
        <row r="4028">
          <cell r="A4028" t="str">
            <v>1677</v>
          </cell>
        </row>
        <row r="4029">
          <cell r="A4029" t="str">
            <v>1678</v>
          </cell>
        </row>
        <row r="4030">
          <cell r="A4030" t="str">
            <v>1679</v>
          </cell>
        </row>
        <row r="4031">
          <cell r="A4031" t="str">
            <v>167A</v>
          </cell>
        </row>
        <row r="4032">
          <cell r="A4032" t="str">
            <v>167B</v>
          </cell>
        </row>
        <row r="4033">
          <cell r="A4033" t="str">
            <v>167C</v>
          </cell>
        </row>
        <row r="4034">
          <cell r="A4034" t="str">
            <v>167D</v>
          </cell>
        </row>
        <row r="4035">
          <cell r="A4035" t="str">
            <v>167E</v>
          </cell>
        </row>
        <row r="4036">
          <cell r="A4036" t="str">
            <v>167F</v>
          </cell>
        </row>
        <row r="4037">
          <cell r="A4037" t="str">
            <v>1680</v>
          </cell>
        </row>
        <row r="4038">
          <cell r="A4038" t="str">
            <v>1681</v>
          </cell>
        </row>
        <row r="4039">
          <cell r="A4039" t="str">
            <v>1682</v>
          </cell>
        </row>
        <row r="4040">
          <cell r="A4040" t="str">
            <v>1683</v>
          </cell>
        </row>
        <row r="4041">
          <cell r="A4041" t="str">
            <v>1684</v>
          </cell>
        </row>
        <row r="4042">
          <cell r="A4042" t="str">
            <v>1685</v>
          </cell>
        </row>
        <row r="4043">
          <cell r="A4043" t="str">
            <v>1686</v>
          </cell>
        </row>
        <row r="4044">
          <cell r="A4044" t="str">
            <v>1687</v>
          </cell>
        </row>
        <row r="4045">
          <cell r="A4045" t="str">
            <v>1688</v>
          </cell>
        </row>
        <row r="4046">
          <cell r="A4046" t="str">
            <v>1689</v>
          </cell>
        </row>
        <row r="4047">
          <cell r="A4047" t="str">
            <v>168F</v>
          </cell>
        </row>
        <row r="4048">
          <cell r="A4048" t="str">
            <v>1690</v>
          </cell>
        </row>
        <row r="4049">
          <cell r="A4049" t="str">
            <v>1691</v>
          </cell>
        </row>
        <row r="4050">
          <cell r="A4050" t="str">
            <v>1692</v>
          </cell>
        </row>
        <row r="4051">
          <cell r="A4051" t="str">
            <v>1693</v>
          </cell>
        </row>
        <row r="4052">
          <cell r="A4052" t="str">
            <v>1694</v>
          </cell>
        </row>
        <row r="4053">
          <cell r="A4053" t="str">
            <v>1695</v>
          </cell>
        </row>
        <row r="4054">
          <cell r="A4054" t="str">
            <v>1696</v>
          </cell>
        </row>
        <row r="4055">
          <cell r="A4055" t="str">
            <v>1697</v>
          </cell>
        </row>
        <row r="4056">
          <cell r="A4056" t="str">
            <v>1698</v>
          </cell>
        </row>
        <row r="4057">
          <cell r="A4057" t="str">
            <v>1699</v>
          </cell>
        </row>
        <row r="4058">
          <cell r="A4058" t="str">
            <v>169A</v>
          </cell>
        </row>
        <row r="4059">
          <cell r="A4059" t="str">
            <v>169B</v>
          </cell>
        </row>
        <row r="4060">
          <cell r="A4060" t="str">
            <v>169C</v>
          </cell>
        </row>
        <row r="4061">
          <cell r="A4061" t="str">
            <v>169D</v>
          </cell>
        </row>
        <row r="4062">
          <cell r="A4062" t="str">
            <v>169E</v>
          </cell>
        </row>
        <row r="4063">
          <cell r="A4063" t="str">
            <v>169F</v>
          </cell>
        </row>
        <row r="4064">
          <cell r="A4064" t="str">
            <v>1700</v>
          </cell>
        </row>
        <row r="4065">
          <cell r="A4065" t="str">
            <v>1701</v>
          </cell>
        </row>
        <row r="4066">
          <cell r="A4066" t="str">
            <v>1702</v>
          </cell>
        </row>
        <row r="4067">
          <cell r="A4067" t="str">
            <v>1703</v>
          </cell>
        </row>
        <row r="4068">
          <cell r="A4068" t="str">
            <v>1704</v>
          </cell>
        </row>
        <row r="4069">
          <cell r="A4069" t="str">
            <v>1705</v>
          </cell>
        </row>
        <row r="4070">
          <cell r="A4070" t="str">
            <v>1706</v>
          </cell>
        </row>
        <row r="4071">
          <cell r="A4071" t="str">
            <v>1707</v>
          </cell>
        </row>
        <row r="4072">
          <cell r="A4072" t="str">
            <v>1708</v>
          </cell>
        </row>
        <row r="4073">
          <cell r="A4073" t="str">
            <v>1709</v>
          </cell>
        </row>
        <row r="4074">
          <cell r="A4074" t="str">
            <v>170A</v>
          </cell>
        </row>
        <row r="4075">
          <cell r="A4075" t="str">
            <v>170B</v>
          </cell>
        </row>
        <row r="4076">
          <cell r="A4076" t="str">
            <v>170C</v>
          </cell>
        </row>
        <row r="4077">
          <cell r="A4077" t="str">
            <v>170D</v>
          </cell>
        </row>
        <row r="4078">
          <cell r="A4078" t="str">
            <v>170E</v>
          </cell>
        </row>
        <row r="4079">
          <cell r="A4079" t="str">
            <v>170F</v>
          </cell>
        </row>
        <row r="4080">
          <cell r="A4080" t="str">
            <v>1710</v>
          </cell>
        </row>
        <row r="4081">
          <cell r="A4081" t="str">
            <v>1711</v>
          </cell>
        </row>
        <row r="4082">
          <cell r="A4082" t="str">
            <v>1712</v>
          </cell>
        </row>
        <row r="4083">
          <cell r="A4083" t="str">
            <v>1713</v>
          </cell>
        </row>
        <row r="4084">
          <cell r="A4084" t="str">
            <v>1714</v>
          </cell>
        </row>
        <row r="4085">
          <cell r="A4085" t="str">
            <v>1715</v>
          </cell>
        </row>
        <row r="4086">
          <cell r="A4086" t="str">
            <v>1716</v>
          </cell>
        </row>
        <row r="4087">
          <cell r="A4087" t="str">
            <v>1717</v>
          </cell>
        </row>
        <row r="4088">
          <cell r="A4088" t="str">
            <v>1718</v>
          </cell>
        </row>
        <row r="4089">
          <cell r="A4089" t="str">
            <v>1719</v>
          </cell>
        </row>
        <row r="4090">
          <cell r="A4090" t="str">
            <v>171A</v>
          </cell>
        </row>
        <row r="4091">
          <cell r="A4091" t="str">
            <v>171B</v>
          </cell>
        </row>
        <row r="4092">
          <cell r="A4092" t="str">
            <v>171C</v>
          </cell>
        </row>
        <row r="4093">
          <cell r="A4093" t="str">
            <v>171D</v>
          </cell>
        </row>
        <row r="4094">
          <cell r="A4094" t="str">
            <v>171E</v>
          </cell>
        </row>
        <row r="4095">
          <cell r="A4095" t="str">
            <v>171F</v>
          </cell>
        </row>
        <row r="4096">
          <cell r="A4096" t="str">
            <v>1720</v>
          </cell>
        </row>
        <row r="4097">
          <cell r="A4097" t="str">
            <v>1721</v>
          </cell>
        </row>
        <row r="4098">
          <cell r="A4098" t="str">
            <v>1722</v>
          </cell>
        </row>
        <row r="4099">
          <cell r="A4099" t="str">
            <v>1723</v>
          </cell>
        </row>
        <row r="4100">
          <cell r="A4100" t="str">
            <v>1724</v>
          </cell>
        </row>
        <row r="4101">
          <cell r="A4101" t="str">
            <v>1725</v>
          </cell>
        </row>
        <row r="4102">
          <cell r="A4102" t="str">
            <v>1726</v>
          </cell>
        </row>
        <row r="4103">
          <cell r="A4103" t="str">
            <v>1727</v>
          </cell>
        </row>
        <row r="4104">
          <cell r="A4104" t="str">
            <v>1728</v>
          </cell>
        </row>
        <row r="4105">
          <cell r="A4105" t="str">
            <v>1729</v>
          </cell>
        </row>
        <row r="4106">
          <cell r="A4106" t="str">
            <v>172A</v>
          </cell>
        </row>
        <row r="4107">
          <cell r="A4107" t="str">
            <v>172B</v>
          </cell>
        </row>
        <row r="4108">
          <cell r="A4108" t="str">
            <v>172C</v>
          </cell>
        </row>
        <row r="4109">
          <cell r="A4109" t="str">
            <v>172D</v>
          </cell>
        </row>
        <row r="4110">
          <cell r="A4110" t="str">
            <v>172E</v>
          </cell>
        </row>
        <row r="4111">
          <cell r="A4111" t="str">
            <v>172F</v>
          </cell>
        </row>
        <row r="4112">
          <cell r="A4112" t="str">
            <v>1730</v>
          </cell>
        </row>
        <row r="4113">
          <cell r="A4113" t="str">
            <v>1731</v>
          </cell>
        </row>
        <row r="4114">
          <cell r="A4114" t="str">
            <v>1732</v>
          </cell>
        </row>
        <row r="4115">
          <cell r="A4115" t="str">
            <v>1733</v>
          </cell>
        </row>
        <row r="4116">
          <cell r="A4116" t="str">
            <v>1734</v>
          </cell>
        </row>
        <row r="4117">
          <cell r="A4117" t="str">
            <v>1735</v>
          </cell>
        </row>
        <row r="4118">
          <cell r="A4118" t="str">
            <v>1736</v>
          </cell>
        </row>
        <row r="4119">
          <cell r="A4119" t="str">
            <v>1737</v>
          </cell>
        </row>
        <row r="4120">
          <cell r="A4120" t="str">
            <v>1738</v>
          </cell>
        </row>
        <row r="4121">
          <cell r="A4121" t="str">
            <v>1739</v>
          </cell>
        </row>
        <row r="4122">
          <cell r="A4122" t="str">
            <v>173A</v>
          </cell>
        </row>
        <row r="4123">
          <cell r="A4123" t="str">
            <v>173B</v>
          </cell>
        </row>
        <row r="4124">
          <cell r="A4124" t="str">
            <v>173C</v>
          </cell>
        </row>
        <row r="4125">
          <cell r="A4125" t="str">
            <v>173D</v>
          </cell>
        </row>
        <row r="4126">
          <cell r="A4126" t="str">
            <v>173E</v>
          </cell>
        </row>
        <row r="4127">
          <cell r="A4127" t="str">
            <v>173F</v>
          </cell>
        </row>
        <row r="4128">
          <cell r="A4128" t="str">
            <v>1740</v>
          </cell>
        </row>
        <row r="4129">
          <cell r="A4129" t="str">
            <v>1741</v>
          </cell>
        </row>
        <row r="4130">
          <cell r="A4130" t="str">
            <v>1742</v>
          </cell>
        </row>
        <row r="4131">
          <cell r="A4131" t="str">
            <v>1743</v>
          </cell>
        </row>
        <row r="4132">
          <cell r="A4132" t="str">
            <v>1744</v>
          </cell>
        </row>
        <row r="4133">
          <cell r="A4133" t="str">
            <v>1745</v>
          </cell>
        </row>
        <row r="4134">
          <cell r="A4134" t="str">
            <v>1746</v>
          </cell>
        </row>
        <row r="4135">
          <cell r="A4135" t="str">
            <v>1747</v>
          </cell>
        </row>
        <row r="4136">
          <cell r="A4136" t="str">
            <v>1748</v>
          </cell>
        </row>
        <row r="4137">
          <cell r="A4137" t="str">
            <v>1749</v>
          </cell>
        </row>
        <row r="4138">
          <cell r="A4138" t="str">
            <v>174A</v>
          </cell>
        </row>
        <row r="4139">
          <cell r="A4139" t="str">
            <v>174B</v>
          </cell>
        </row>
        <row r="4140">
          <cell r="A4140" t="str">
            <v>174C</v>
          </cell>
        </row>
        <row r="4141">
          <cell r="A4141" t="str">
            <v>174D</v>
          </cell>
        </row>
        <row r="4142">
          <cell r="A4142" t="str">
            <v>174E</v>
          </cell>
        </row>
        <row r="4143">
          <cell r="A4143" t="str">
            <v>174F</v>
          </cell>
        </row>
        <row r="4144">
          <cell r="A4144" t="str">
            <v>1750</v>
          </cell>
        </row>
        <row r="4145">
          <cell r="A4145" t="str">
            <v>1751</v>
          </cell>
        </row>
        <row r="4146">
          <cell r="A4146" t="str">
            <v>1752</v>
          </cell>
        </row>
        <row r="4147">
          <cell r="A4147" t="str">
            <v>1753</v>
          </cell>
        </row>
        <row r="4148">
          <cell r="A4148" t="str">
            <v>1754</v>
          </cell>
        </row>
        <row r="4149">
          <cell r="A4149" t="str">
            <v>1755</v>
          </cell>
        </row>
        <row r="4150">
          <cell r="A4150" t="str">
            <v>1756</v>
          </cell>
        </row>
        <row r="4151">
          <cell r="A4151" t="str">
            <v>1757</v>
          </cell>
        </row>
        <row r="4152">
          <cell r="A4152" t="str">
            <v>1758</v>
          </cell>
        </row>
        <row r="4153">
          <cell r="A4153" t="str">
            <v>1759</v>
          </cell>
        </row>
        <row r="4154">
          <cell r="A4154" t="str">
            <v>175A</v>
          </cell>
        </row>
        <row r="4155">
          <cell r="A4155" t="str">
            <v>175B</v>
          </cell>
        </row>
        <row r="4156">
          <cell r="A4156" t="str">
            <v>1760</v>
          </cell>
        </row>
        <row r="4157">
          <cell r="A4157" t="str">
            <v>1761</v>
          </cell>
        </row>
        <row r="4158">
          <cell r="A4158" t="str">
            <v>1762</v>
          </cell>
        </row>
        <row r="4159">
          <cell r="A4159" t="str">
            <v>1763</v>
          </cell>
        </row>
        <row r="4160">
          <cell r="A4160" t="str">
            <v>1764</v>
          </cell>
        </row>
        <row r="4161">
          <cell r="A4161" t="str">
            <v>1765</v>
          </cell>
        </row>
        <row r="4162">
          <cell r="A4162" t="str">
            <v>1766</v>
          </cell>
        </row>
        <row r="4163">
          <cell r="A4163" t="str">
            <v>1767</v>
          </cell>
        </row>
        <row r="4164">
          <cell r="A4164" t="str">
            <v>1768</v>
          </cell>
        </row>
        <row r="4165">
          <cell r="A4165" t="str">
            <v>1769</v>
          </cell>
        </row>
        <row r="4166">
          <cell r="A4166" t="str">
            <v>176A</v>
          </cell>
        </row>
        <row r="4167">
          <cell r="A4167" t="str">
            <v>176B</v>
          </cell>
        </row>
        <row r="4168">
          <cell r="A4168" t="str">
            <v>176C</v>
          </cell>
        </row>
        <row r="4169">
          <cell r="A4169" t="str">
            <v>176D</v>
          </cell>
        </row>
        <row r="4170">
          <cell r="A4170" t="str">
            <v>176E</v>
          </cell>
        </row>
        <row r="4171">
          <cell r="A4171" t="str">
            <v>176F</v>
          </cell>
        </row>
        <row r="4172">
          <cell r="A4172" t="str">
            <v>1770</v>
          </cell>
        </row>
        <row r="4173">
          <cell r="A4173" t="str">
            <v>1771</v>
          </cell>
        </row>
        <row r="4174">
          <cell r="A4174" t="str">
            <v>1772</v>
          </cell>
        </row>
        <row r="4175">
          <cell r="A4175" t="str">
            <v>1773</v>
          </cell>
        </row>
        <row r="4176">
          <cell r="A4176" t="str">
            <v>1774</v>
          </cell>
        </row>
        <row r="4177">
          <cell r="A4177" t="str">
            <v>1775</v>
          </cell>
        </row>
        <row r="4178">
          <cell r="A4178" t="str">
            <v>1776</v>
          </cell>
        </row>
        <row r="4179">
          <cell r="A4179" t="str">
            <v>1777</v>
          </cell>
        </row>
        <row r="4180">
          <cell r="A4180" t="str">
            <v>1778</v>
          </cell>
        </row>
        <row r="4181">
          <cell r="A4181" t="str">
            <v>1779</v>
          </cell>
        </row>
        <row r="4182">
          <cell r="A4182" t="str">
            <v>177A</v>
          </cell>
        </row>
        <row r="4183">
          <cell r="A4183" t="str">
            <v>177B</v>
          </cell>
        </row>
        <row r="4184">
          <cell r="A4184" t="str">
            <v>177C</v>
          </cell>
        </row>
        <row r="4185">
          <cell r="A4185" t="str">
            <v>177D</v>
          </cell>
        </row>
        <row r="4186">
          <cell r="A4186" t="str">
            <v>177E</v>
          </cell>
        </row>
        <row r="4187">
          <cell r="A4187" t="str">
            <v>1780</v>
          </cell>
        </row>
        <row r="4188">
          <cell r="A4188" t="str">
            <v>1781</v>
          </cell>
        </row>
        <row r="4189">
          <cell r="A4189" t="str">
            <v>1782</v>
          </cell>
        </row>
        <row r="4190">
          <cell r="A4190" t="str">
            <v>1783</v>
          </cell>
        </row>
        <row r="4191">
          <cell r="A4191" t="str">
            <v>1784</v>
          </cell>
        </row>
        <row r="4192">
          <cell r="A4192" t="str">
            <v>1785</v>
          </cell>
        </row>
        <row r="4193">
          <cell r="A4193" t="str">
            <v>1786</v>
          </cell>
        </row>
        <row r="4194">
          <cell r="A4194" t="str">
            <v>1787</v>
          </cell>
        </row>
        <row r="4195">
          <cell r="A4195" t="str">
            <v>1788</v>
          </cell>
        </row>
        <row r="4196">
          <cell r="A4196" t="str">
            <v>1789</v>
          </cell>
        </row>
        <row r="4197">
          <cell r="A4197" t="str">
            <v>1790</v>
          </cell>
        </row>
        <row r="4198">
          <cell r="A4198" t="str">
            <v>1791</v>
          </cell>
        </row>
        <row r="4199">
          <cell r="A4199" t="str">
            <v>1792</v>
          </cell>
        </row>
        <row r="4200">
          <cell r="A4200" t="str">
            <v>1793</v>
          </cell>
        </row>
        <row r="4201">
          <cell r="A4201" t="str">
            <v>1794</v>
          </cell>
        </row>
        <row r="4202">
          <cell r="A4202" t="str">
            <v>1795</v>
          </cell>
        </row>
        <row r="4203">
          <cell r="A4203" t="str">
            <v>1796</v>
          </cell>
        </row>
        <row r="4204">
          <cell r="A4204" t="str">
            <v>1797</v>
          </cell>
        </row>
        <row r="4205">
          <cell r="A4205" t="str">
            <v>1798</v>
          </cell>
        </row>
        <row r="4206">
          <cell r="A4206" t="str">
            <v>1799</v>
          </cell>
        </row>
        <row r="4207">
          <cell r="A4207" t="str">
            <v>179A</v>
          </cell>
        </row>
        <row r="4208">
          <cell r="A4208" t="str">
            <v>179B</v>
          </cell>
        </row>
        <row r="4209">
          <cell r="A4209" t="str">
            <v>1800</v>
          </cell>
        </row>
        <row r="4210">
          <cell r="A4210" t="str">
            <v>1801</v>
          </cell>
        </row>
        <row r="4211">
          <cell r="A4211" t="str">
            <v>1802</v>
          </cell>
        </row>
        <row r="4212">
          <cell r="A4212" t="str">
            <v>1803</v>
          </cell>
        </row>
        <row r="4213">
          <cell r="A4213" t="str">
            <v>1804</v>
          </cell>
        </row>
        <row r="4214">
          <cell r="A4214" t="str">
            <v>1805</v>
          </cell>
        </row>
        <row r="4215">
          <cell r="A4215" t="str">
            <v>1806</v>
          </cell>
        </row>
        <row r="4216">
          <cell r="A4216" t="str">
            <v>1807</v>
          </cell>
        </row>
        <row r="4217">
          <cell r="A4217" t="str">
            <v>1808</v>
          </cell>
        </row>
        <row r="4218">
          <cell r="A4218" t="str">
            <v>1809</v>
          </cell>
        </row>
        <row r="4219">
          <cell r="A4219" t="str">
            <v>1810</v>
          </cell>
        </row>
        <row r="4220">
          <cell r="A4220" t="str">
            <v>1811</v>
          </cell>
        </row>
        <row r="4221">
          <cell r="A4221" t="str">
            <v>1812</v>
          </cell>
        </row>
        <row r="4222">
          <cell r="A4222" t="str">
            <v>1813</v>
          </cell>
        </row>
        <row r="4223">
          <cell r="A4223" t="str">
            <v>1814</v>
          </cell>
        </row>
        <row r="4224">
          <cell r="A4224" t="str">
            <v>1815</v>
          </cell>
        </row>
        <row r="4225">
          <cell r="A4225" t="str">
            <v>1816</v>
          </cell>
        </row>
        <row r="4226">
          <cell r="A4226" t="str">
            <v>1817</v>
          </cell>
        </row>
        <row r="4227">
          <cell r="A4227" t="str">
            <v>1818</v>
          </cell>
        </row>
        <row r="4228">
          <cell r="A4228" t="str">
            <v>1819</v>
          </cell>
        </row>
        <row r="4229">
          <cell r="A4229" t="str">
            <v>181A</v>
          </cell>
        </row>
        <row r="4230">
          <cell r="A4230" t="str">
            <v>181B</v>
          </cell>
        </row>
        <row r="4231">
          <cell r="A4231" t="str">
            <v>181C</v>
          </cell>
        </row>
        <row r="4232">
          <cell r="A4232" t="str">
            <v>181D</v>
          </cell>
        </row>
        <row r="4233">
          <cell r="A4233" t="str">
            <v>181E</v>
          </cell>
        </row>
        <row r="4234">
          <cell r="A4234" t="str">
            <v>181F</v>
          </cell>
        </row>
        <row r="4235">
          <cell r="A4235" t="str">
            <v>1820</v>
          </cell>
        </row>
        <row r="4236">
          <cell r="A4236" t="str">
            <v>1821</v>
          </cell>
        </row>
        <row r="4237">
          <cell r="A4237" t="str">
            <v>1822</v>
          </cell>
        </row>
        <row r="4238">
          <cell r="A4238" t="str">
            <v>1823</v>
          </cell>
        </row>
        <row r="4239">
          <cell r="A4239" t="str">
            <v>1824</v>
          </cell>
        </row>
        <row r="4240">
          <cell r="A4240" t="str">
            <v>1825</v>
          </cell>
        </row>
        <row r="4241">
          <cell r="A4241" t="str">
            <v>1826</v>
          </cell>
        </row>
        <row r="4242">
          <cell r="A4242" t="str">
            <v>1827</v>
          </cell>
        </row>
        <row r="4243">
          <cell r="A4243" t="str">
            <v>1828</v>
          </cell>
        </row>
        <row r="4244">
          <cell r="A4244" t="str">
            <v>1829</v>
          </cell>
        </row>
        <row r="4245">
          <cell r="A4245" t="str">
            <v>182A</v>
          </cell>
        </row>
        <row r="4246">
          <cell r="A4246" t="str">
            <v>182B</v>
          </cell>
        </row>
        <row r="4247">
          <cell r="A4247" t="str">
            <v>182C</v>
          </cell>
        </row>
        <row r="4248">
          <cell r="A4248" t="str">
            <v>182D</v>
          </cell>
        </row>
        <row r="4249">
          <cell r="A4249" t="str">
            <v>182E</v>
          </cell>
        </row>
        <row r="4250">
          <cell r="A4250" t="str">
            <v>182F</v>
          </cell>
        </row>
        <row r="4251">
          <cell r="A4251" t="str">
            <v>1830</v>
          </cell>
        </row>
        <row r="4252">
          <cell r="A4252" t="str">
            <v>1831</v>
          </cell>
        </row>
        <row r="4253">
          <cell r="A4253" t="str">
            <v>1832</v>
          </cell>
        </row>
        <row r="4254">
          <cell r="A4254" t="str">
            <v>1833</v>
          </cell>
        </row>
        <row r="4255">
          <cell r="A4255" t="str">
            <v>1834</v>
          </cell>
        </row>
        <row r="4256">
          <cell r="A4256" t="str">
            <v>1835</v>
          </cell>
        </row>
        <row r="4257">
          <cell r="A4257" t="str">
            <v>1836</v>
          </cell>
        </row>
        <row r="4258">
          <cell r="A4258" t="str">
            <v>1837</v>
          </cell>
        </row>
        <row r="4259">
          <cell r="A4259" t="str">
            <v>1838</v>
          </cell>
        </row>
        <row r="4260">
          <cell r="A4260" t="str">
            <v>1839</v>
          </cell>
        </row>
        <row r="4261">
          <cell r="A4261" t="str">
            <v>183A</v>
          </cell>
        </row>
        <row r="4262">
          <cell r="A4262" t="str">
            <v>183B</v>
          </cell>
        </row>
        <row r="4263">
          <cell r="A4263" t="str">
            <v>183C</v>
          </cell>
        </row>
        <row r="4264">
          <cell r="A4264" t="str">
            <v>183D</v>
          </cell>
        </row>
        <row r="4265">
          <cell r="A4265" t="str">
            <v>1840</v>
          </cell>
        </row>
        <row r="4266">
          <cell r="A4266" t="str">
            <v>1841</v>
          </cell>
        </row>
        <row r="4267">
          <cell r="A4267" t="str">
            <v>1842</v>
          </cell>
        </row>
        <row r="4268">
          <cell r="A4268" t="str">
            <v>1843</v>
          </cell>
        </row>
        <row r="4269">
          <cell r="A4269" t="str">
            <v>1844</v>
          </cell>
        </row>
        <row r="4270">
          <cell r="A4270" t="str">
            <v>1845</v>
          </cell>
        </row>
        <row r="4271">
          <cell r="A4271" t="str">
            <v>1846</v>
          </cell>
        </row>
        <row r="4272">
          <cell r="A4272" t="str">
            <v>1847</v>
          </cell>
        </row>
        <row r="4273">
          <cell r="A4273" t="str">
            <v>1848</v>
          </cell>
        </row>
        <row r="4274">
          <cell r="A4274" t="str">
            <v>1849</v>
          </cell>
        </row>
        <row r="4275">
          <cell r="A4275" t="str">
            <v>184A</v>
          </cell>
        </row>
        <row r="4276">
          <cell r="A4276" t="str">
            <v>184B</v>
          </cell>
        </row>
        <row r="4277">
          <cell r="A4277" t="str">
            <v>184C</v>
          </cell>
        </row>
        <row r="4278">
          <cell r="A4278" t="str">
            <v>184D</v>
          </cell>
        </row>
        <row r="4279">
          <cell r="A4279" t="str">
            <v>1850</v>
          </cell>
        </row>
        <row r="4280">
          <cell r="A4280" t="str">
            <v>1851</v>
          </cell>
        </row>
        <row r="4281">
          <cell r="A4281" t="str">
            <v>1852</v>
          </cell>
        </row>
        <row r="4282">
          <cell r="A4282" t="str">
            <v>1853</v>
          </cell>
        </row>
        <row r="4283">
          <cell r="A4283" t="str">
            <v>1854</v>
          </cell>
        </row>
        <row r="4284">
          <cell r="A4284" t="str">
            <v>1855</v>
          </cell>
        </row>
        <row r="4285">
          <cell r="A4285" t="str">
            <v>1856</v>
          </cell>
        </row>
        <row r="4286">
          <cell r="A4286" t="str">
            <v>1857</v>
          </cell>
        </row>
        <row r="4287">
          <cell r="A4287" t="str">
            <v>1858</v>
          </cell>
        </row>
        <row r="4288">
          <cell r="A4288" t="str">
            <v>1859</v>
          </cell>
        </row>
        <row r="4289">
          <cell r="A4289" t="str">
            <v>185A</v>
          </cell>
        </row>
        <row r="4290">
          <cell r="A4290" t="str">
            <v>185B</v>
          </cell>
        </row>
        <row r="4291">
          <cell r="A4291" t="str">
            <v>185C</v>
          </cell>
        </row>
        <row r="4292">
          <cell r="A4292" t="str">
            <v>185D</v>
          </cell>
        </row>
        <row r="4293">
          <cell r="A4293" t="str">
            <v>1860</v>
          </cell>
        </row>
        <row r="4294">
          <cell r="A4294" t="str">
            <v>1861</v>
          </cell>
        </row>
        <row r="4295">
          <cell r="A4295" t="str">
            <v>1862</v>
          </cell>
        </row>
        <row r="4296">
          <cell r="A4296" t="str">
            <v>1863</v>
          </cell>
        </row>
        <row r="4297">
          <cell r="A4297" t="str">
            <v>1864</v>
          </cell>
        </row>
        <row r="4298">
          <cell r="A4298" t="str">
            <v>1865</v>
          </cell>
        </row>
        <row r="4299">
          <cell r="A4299" t="str">
            <v>1866</v>
          </cell>
        </row>
        <row r="4300">
          <cell r="A4300" t="str">
            <v>1867</v>
          </cell>
        </row>
        <row r="4301">
          <cell r="A4301" t="str">
            <v>1868</v>
          </cell>
        </row>
        <row r="4302">
          <cell r="A4302" t="str">
            <v>1869</v>
          </cell>
        </row>
        <row r="4303">
          <cell r="A4303" t="str">
            <v>186A</v>
          </cell>
        </row>
        <row r="4304">
          <cell r="A4304" t="str">
            <v>186B</v>
          </cell>
        </row>
        <row r="4305">
          <cell r="A4305" t="str">
            <v>186C</v>
          </cell>
        </row>
        <row r="4306">
          <cell r="A4306" t="str">
            <v>186D</v>
          </cell>
        </row>
        <row r="4307">
          <cell r="A4307" t="str">
            <v>186E</v>
          </cell>
        </row>
        <row r="4308">
          <cell r="A4308" t="str">
            <v>186F</v>
          </cell>
        </row>
        <row r="4309">
          <cell r="A4309" t="str">
            <v>1870</v>
          </cell>
        </row>
        <row r="4310">
          <cell r="A4310" t="str">
            <v>1871</v>
          </cell>
        </row>
        <row r="4311">
          <cell r="A4311" t="str">
            <v>1872</v>
          </cell>
        </row>
        <row r="4312">
          <cell r="A4312" t="str">
            <v>1873</v>
          </cell>
        </row>
        <row r="4313">
          <cell r="A4313" t="str">
            <v>1874</v>
          </cell>
        </row>
        <row r="4314">
          <cell r="A4314" t="str">
            <v>1875</v>
          </cell>
        </row>
        <row r="4315">
          <cell r="A4315" t="str">
            <v>1876</v>
          </cell>
        </row>
        <row r="4316">
          <cell r="A4316" t="str">
            <v>1877</v>
          </cell>
        </row>
        <row r="4317">
          <cell r="A4317" t="str">
            <v>1878</v>
          </cell>
        </row>
        <row r="4318">
          <cell r="A4318" t="str">
            <v>1879</v>
          </cell>
        </row>
        <row r="4319">
          <cell r="A4319" t="str">
            <v>187A</v>
          </cell>
        </row>
        <row r="4320">
          <cell r="A4320" t="str">
            <v>187B</v>
          </cell>
        </row>
        <row r="4321">
          <cell r="A4321" t="str">
            <v>187C</v>
          </cell>
        </row>
        <row r="4322">
          <cell r="A4322" t="str">
            <v>187D</v>
          </cell>
        </row>
        <row r="4323">
          <cell r="A4323" t="str">
            <v>187E</v>
          </cell>
        </row>
        <row r="4324">
          <cell r="A4324" t="str">
            <v>187F</v>
          </cell>
        </row>
        <row r="4325">
          <cell r="A4325" t="str">
            <v>1880</v>
          </cell>
        </row>
        <row r="4326">
          <cell r="A4326" t="str">
            <v>1881</v>
          </cell>
        </row>
        <row r="4327">
          <cell r="A4327" t="str">
            <v>1882</v>
          </cell>
        </row>
        <row r="4328">
          <cell r="A4328" t="str">
            <v>1883</v>
          </cell>
        </row>
        <row r="4329">
          <cell r="A4329" t="str">
            <v>1884</v>
          </cell>
        </row>
        <row r="4330">
          <cell r="A4330" t="str">
            <v>1885</v>
          </cell>
        </row>
        <row r="4331">
          <cell r="A4331" t="str">
            <v>1886</v>
          </cell>
        </row>
        <row r="4332">
          <cell r="A4332" t="str">
            <v>1887</v>
          </cell>
        </row>
        <row r="4333">
          <cell r="A4333" t="str">
            <v>1888</v>
          </cell>
        </row>
        <row r="4334">
          <cell r="A4334" t="str">
            <v>1889</v>
          </cell>
        </row>
        <row r="4335">
          <cell r="A4335" t="str">
            <v>188A</v>
          </cell>
        </row>
        <row r="4336">
          <cell r="A4336" t="str">
            <v>188B</v>
          </cell>
        </row>
        <row r="4337">
          <cell r="A4337" t="str">
            <v>188C</v>
          </cell>
        </row>
        <row r="4338">
          <cell r="A4338" t="str">
            <v>188D</v>
          </cell>
        </row>
        <row r="4339">
          <cell r="A4339" t="str">
            <v>188E</v>
          </cell>
        </row>
        <row r="4340">
          <cell r="A4340" t="str">
            <v>188F</v>
          </cell>
        </row>
        <row r="4341">
          <cell r="A4341" t="str">
            <v>1890</v>
          </cell>
        </row>
        <row r="4342">
          <cell r="A4342" t="str">
            <v>1891</v>
          </cell>
        </row>
        <row r="4343">
          <cell r="A4343" t="str">
            <v>1892</v>
          </cell>
        </row>
        <row r="4344">
          <cell r="A4344" t="str">
            <v>1893</v>
          </cell>
        </row>
        <row r="4345">
          <cell r="A4345" t="str">
            <v>1894</v>
          </cell>
        </row>
        <row r="4346">
          <cell r="A4346" t="str">
            <v>1895</v>
          </cell>
        </row>
        <row r="4347">
          <cell r="A4347" t="str">
            <v>1896</v>
          </cell>
        </row>
        <row r="4348">
          <cell r="A4348" t="str">
            <v>1897</v>
          </cell>
        </row>
        <row r="4349">
          <cell r="A4349" t="str">
            <v>1898</v>
          </cell>
        </row>
        <row r="4350">
          <cell r="A4350" t="str">
            <v>1899</v>
          </cell>
        </row>
        <row r="4351">
          <cell r="A4351" t="str">
            <v>189A</v>
          </cell>
        </row>
        <row r="4352">
          <cell r="A4352" t="str">
            <v>189B</v>
          </cell>
        </row>
        <row r="4353">
          <cell r="A4353" t="str">
            <v>1900</v>
          </cell>
        </row>
        <row r="4354">
          <cell r="A4354" t="str">
            <v>1901</v>
          </cell>
        </row>
        <row r="4355">
          <cell r="A4355" t="str">
            <v>1902</v>
          </cell>
        </row>
        <row r="4356">
          <cell r="A4356" t="str">
            <v>1903</v>
          </cell>
        </row>
        <row r="4357">
          <cell r="A4357" t="str">
            <v>1904</v>
          </cell>
        </row>
        <row r="4358">
          <cell r="A4358" t="str">
            <v>1905</v>
          </cell>
        </row>
        <row r="4359">
          <cell r="A4359" t="str">
            <v>1906</v>
          </cell>
        </row>
        <row r="4360">
          <cell r="A4360" t="str">
            <v>1907</v>
          </cell>
        </row>
        <row r="4361">
          <cell r="A4361" t="str">
            <v>1908</v>
          </cell>
        </row>
        <row r="4362">
          <cell r="A4362" t="str">
            <v>1909</v>
          </cell>
        </row>
        <row r="4363">
          <cell r="A4363" t="str">
            <v>1910</v>
          </cell>
        </row>
        <row r="4364">
          <cell r="A4364" t="str">
            <v>1911</v>
          </cell>
        </row>
        <row r="4365">
          <cell r="A4365" t="str">
            <v>1912</v>
          </cell>
        </row>
        <row r="4366">
          <cell r="A4366" t="str">
            <v>1913</v>
          </cell>
        </row>
        <row r="4367">
          <cell r="A4367" t="str">
            <v>1914</v>
          </cell>
        </row>
        <row r="4368">
          <cell r="A4368" t="str">
            <v>1915</v>
          </cell>
        </row>
        <row r="4369">
          <cell r="A4369" t="str">
            <v>1916</v>
          </cell>
        </row>
        <row r="4370">
          <cell r="A4370" t="str">
            <v>1917</v>
          </cell>
        </row>
        <row r="4371">
          <cell r="A4371" t="str">
            <v>1918</v>
          </cell>
        </row>
        <row r="4372">
          <cell r="A4372" t="str">
            <v>1919</v>
          </cell>
        </row>
        <row r="4373">
          <cell r="A4373" t="str">
            <v>1920</v>
          </cell>
        </row>
        <row r="4374">
          <cell r="A4374" t="str">
            <v>1921</v>
          </cell>
        </row>
        <row r="4375">
          <cell r="A4375" t="str">
            <v>1922</v>
          </cell>
        </row>
        <row r="4376">
          <cell r="A4376" t="str">
            <v>1923</v>
          </cell>
        </row>
        <row r="4377">
          <cell r="A4377" t="str">
            <v>1924</v>
          </cell>
        </row>
        <row r="4378">
          <cell r="A4378" t="str">
            <v>1925</v>
          </cell>
        </row>
        <row r="4379">
          <cell r="A4379" t="str">
            <v>1926</v>
          </cell>
        </row>
        <row r="4380">
          <cell r="A4380" t="str">
            <v>1927</v>
          </cell>
        </row>
        <row r="4381">
          <cell r="A4381" t="str">
            <v>1928</v>
          </cell>
        </row>
        <row r="4382">
          <cell r="A4382" t="str">
            <v>1929</v>
          </cell>
        </row>
        <row r="4383">
          <cell r="A4383" t="str">
            <v>1930</v>
          </cell>
        </row>
        <row r="4384">
          <cell r="A4384" t="str">
            <v>1931</v>
          </cell>
        </row>
        <row r="4385">
          <cell r="A4385" t="str">
            <v>1932</v>
          </cell>
        </row>
        <row r="4386">
          <cell r="A4386" t="str">
            <v>1933</v>
          </cell>
        </row>
        <row r="4387">
          <cell r="A4387" t="str">
            <v>1934</v>
          </cell>
        </row>
        <row r="4388">
          <cell r="A4388" t="str">
            <v>1935</v>
          </cell>
        </row>
        <row r="4389">
          <cell r="A4389" t="str">
            <v>1936</v>
          </cell>
        </row>
        <row r="4390">
          <cell r="A4390" t="str">
            <v>1937</v>
          </cell>
        </row>
        <row r="4391">
          <cell r="A4391" t="str">
            <v>1938</v>
          </cell>
        </row>
        <row r="4392">
          <cell r="A4392" t="str">
            <v>1939</v>
          </cell>
        </row>
        <row r="4393">
          <cell r="A4393" t="str">
            <v>193A</v>
          </cell>
        </row>
        <row r="4394">
          <cell r="A4394" t="str">
            <v>193B</v>
          </cell>
        </row>
        <row r="4395">
          <cell r="A4395" t="str">
            <v>193C</v>
          </cell>
        </row>
        <row r="4396">
          <cell r="A4396" t="str">
            <v>193D</v>
          </cell>
        </row>
        <row r="4397">
          <cell r="A4397" t="str">
            <v>193E</v>
          </cell>
        </row>
        <row r="4398">
          <cell r="A4398" t="str">
            <v>193F</v>
          </cell>
        </row>
        <row r="4399">
          <cell r="A4399" t="str">
            <v>1A01</v>
          </cell>
        </row>
        <row r="4400">
          <cell r="A4400" t="str">
            <v>1A02</v>
          </cell>
        </row>
        <row r="4401">
          <cell r="A4401" t="str">
            <v>1A03</v>
          </cell>
        </row>
        <row r="4402">
          <cell r="A4402" t="str">
            <v>1A04</v>
          </cell>
        </row>
        <row r="4403">
          <cell r="A4403" t="str">
            <v>1A05</v>
          </cell>
        </row>
        <row r="4404">
          <cell r="A4404" t="str">
            <v>1A06</v>
          </cell>
        </row>
        <row r="4405">
          <cell r="A4405" t="str">
            <v>1A07</v>
          </cell>
        </row>
        <row r="4406">
          <cell r="A4406" t="str">
            <v>1A08</v>
          </cell>
        </row>
        <row r="4407">
          <cell r="A4407" t="str">
            <v>1A09</v>
          </cell>
        </row>
        <row r="4408">
          <cell r="A4408" t="str">
            <v>1A0A</v>
          </cell>
        </row>
        <row r="4409">
          <cell r="A4409" t="str">
            <v>1A0B</v>
          </cell>
        </row>
        <row r="4410">
          <cell r="A4410" t="str">
            <v>1A0C</v>
          </cell>
        </row>
        <row r="4411">
          <cell r="A4411" t="str">
            <v>1A0D</v>
          </cell>
        </row>
        <row r="4412">
          <cell r="A4412" t="str">
            <v>1A0E</v>
          </cell>
        </row>
        <row r="4413">
          <cell r="A4413" t="str">
            <v>1A0F</v>
          </cell>
        </row>
        <row r="4414">
          <cell r="A4414" t="str">
            <v>1A10</v>
          </cell>
        </row>
        <row r="4415">
          <cell r="A4415" t="str">
            <v>1A11</v>
          </cell>
        </row>
        <row r="4416">
          <cell r="A4416" t="str">
            <v>1A12</v>
          </cell>
        </row>
        <row r="4417">
          <cell r="A4417" t="str">
            <v>1A13</v>
          </cell>
        </row>
        <row r="4418">
          <cell r="A4418" t="str">
            <v>1A14</v>
          </cell>
        </row>
        <row r="4419">
          <cell r="A4419" t="str">
            <v>1A15</v>
          </cell>
        </row>
        <row r="4420">
          <cell r="A4420" t="str">
            <v>1A16</v>
          </cell>
        </row>
        <row r="4421">
          <cell r="A4421" t="str">
            <v>1A17</v>
          </cell>
        </row>
        <row r="4422">
          <cell r="A4422" t="str">
            <v>1A18</v>
          </cell>
        </row>
        <row r="4423">
          <cell r="A4423" t="str">
            <v>1A19</v>
          </cell>
        </row>
        <row r="4424">
          <cell r="A4424" t="str">
            <v>1A1A</v>
          </cell>
        </row>
        <row r="4425">
          <cell r="A4425" t="str">
            <v>1A1B</v>
          </cell>
        </row>
        <row r="4426">
          <cell r="A4426" t="str">
            <v>1A1C</v>
          </cell>
        </row>
        <row r="4427">
          <cell r="A4427" t="str">
            <v>1A1D</v>
          </cell>
        </row>
        <row r="4428">
          <cell r="A4428" t="str">
            <v>1A1E</v>
          </cell>
        </row>
        <row r="4429">
          <cell r="A4429" t="str">
            <v>1A1F</v>
          </cell>
        </row>
        <row r="4430">
          <cell r="A4430" t="str">
            <v>1A20</v>
          </cell>
        </row>
        <row r="4431">
          <cell r="A4431" t="str">
            <v>1A21</v>
          </cell>
        </row>
        <row r="4432">
          <cell r="A4432" t="str">
            <v>1A22</v>
          </cell>
        </row>
        <row r="4433">
          <cell r="A4433" t="str">
            <v>1A23</v>
          </cell>
        </row>
        <row r="4434">
          <cell r="A4434" t="str">
            <v>1A24</v>
          </cell>
        </row>
        <row r="4435">
          <cell r="A4435" t="str">
            <v>1A25</v>
          </cell>
        </row>
        <row r="4436">
          <cell r="A4436" t="str">
            <v>1A26</v>
          </cell>
        </row>
        <row r="4437">
          <cell r="A4437" t="str">
            <v>1A27</v>
          </cell>
        </row>
        <row r="4438">
          <cell r="A4438" t="str">
            <v>1A28</v>
          </cell>
        </row>
        <row r="4439">
          <cell r="A4439" t="str">
            <v>1A29</v>
          </cell>
        </row>
        <row r="4440">
          <cell r="A4440" t="str">
            <v>1A2A</v>
          </cell>
        </row>
        <row r="4441">
          <cell r="A4441" t="str">
            <v>1A2B</v>
          </cell>
        </row>
        <row r="4442">
          <cell r="A4442" t="str">
            <v>1A2C</v>
          </cell>
        </row>
        <row r="4443">
          <cell r="A4443" t="str">
            <v>1A2D</v>
          </cell>
        </row>
        <row r="4444">
          <cell r="A4444" t="str">
            <v>1A2E</v>
          </cell>
        </row>
        <row r="4445">
          <cell r="A4445" t="str">
            <v>1A2F</v>
          </cell>
        </row>
        <row r="4446">
          <cell r="A4446" t="str">
            <v>1A30</v>
          </cell>
        </row>
        <row r="4447">
          <cell r="A4447" t="str">
            <v>1A31</v>
          </cell>
        </row>
        <row r="4448">
          <cell r="A4448" t="str">
            <v>1A32</v>
          </cell>
        </row>
        <row r="4449">
          <cell r="A4449" t="str">
            <v>1A33</v>
          </cell>
        </row>
        <row r="4450">
          <cell r="A4450" t="str">
            <v>1A34</v>
          </cell>
        </row>
        <row r="4451">
          <cell r="A4451" t="str">
            <v>1A35</v>
          </cell>
        </row>
        <row r="4452">
          <cell r="A4452" t="str">
            <v>1A36</v>
          </cell>
        </row>
        <row r="4453">
          <cell r="A4453" t="str">
            <v>1A37</v>
          </cell>
        </row>
        <row r="4454">
          <cell r="A4454" t="str">
            <v>1A38</v>
          </cell>
        </row>
        <row r="4455">
          <cell r="A4455" t="str">
            <v>2000</v>
          </cell>
        </row>
        <row r="4456">
          <cell r="A4456" t="str">
            <v>2001</v>
          </cell>
        </row>
        <row r="4457">
          <cell r="A4457" t="str">
            <v>2002</v>
          </cell>
        </row>
        <row r="4458">
          <cell r="A4458" t="str">
            <v>2003</v>
          </cell>
        </row>
        <row r="4459">
          <cell r="A4459" t="str">
            <v>2004</v>
          </cell>
        </row>
        <row r="4460">
          <cell r="A4460" t="str">
            <v>2005</v>
          </cell>
        </row>
        <row r="4461">
          <cell r="A4461" t="str">
            <v>2006</v>
          </cell>
        </row>
        <row r="4462">
          <cell r="A4462" t="str">
            <v>2007</v>
          </cell>
        </row>
        <row r="4463">
          <cell r="A4463" t="str">
            <v>2008</v>
          </cell>
        </row>
        <row r="4464">
          <cell r="A4464" t="str">
            <v>2009</v>
          </cell>
        </row>
        <row r="4465">
          <cell r="A4465" t="str">
            <v>200A</v>
          </cell>
        </row>
        <row r="4466">
          <cell r="A4466" t="str">
            <v>200B</v>
          </cell>
        </row>
        <row r="4467">
          <cell r="A4467" t="str">
            <v>200C</v>
          </cell>
        </row>
        <row r="4468">
          <cell r="A4468" t="str">
            <v>200D</v>
          </cell>
        </row>
        <row r="4469">
          <cell r="A4469" t="str">
            <v>200E</v>
          </cell>
        </row>
        <row r="4470">
          <cell r="A4470" t="str">
            <v>200F</v>
          </cell>
        </row>
        <row r="4471">
          <cell r="A4471" t="str">
            <v>2010</v>
          </cell>
        </row>
        <row r="4472">
          <cell r="A4472" t="str">
            <v>2011</v>
          </cell>
        </row>
        <row r="4473">
          <cell r="A4473" t="str">
            <v>2012</v>
          </cell>
        </row>
        <row r="4474">
          <cell r="A4474" t="str">
            <v>2013</v>
          </cell>
        </row>
        <row r="4475">
          <cell r="A4475" t="str">
            <v>2014</v>
          </cell>
        </row>
        <row r="4476">
          <cell r="A4476" t="str">
            <v>2015</v>
          </cell>
        </row>
        <row r="4477">
          <cell r="A4477" t="str">
            <v>2016</v>
          </cell>
        </row>
        <row r="4478">
          <cell r="A4478" t="str">
            <v>2017</v>
          </cell>
        </row>
        <row r="4479">
          <cell r="A4479" t="str">
            <v>2018</v>
          </cell>
        </row>
        <row r="4480">
          <cell r="A4480" t="str">
            <v>2019</v>
          </cell>
        </row>
        <row r="4481">
          <cell r="A4481" t="str">
            <v>201A</v>
          </cell>
        </row>
        <row r="4482">
          <cell r="A4482" t="str">
            <v>201B</v>
          </cell>
        </row>
        <row r="4483">
          <cell r="A4483" t="str">
            <v>201C</v>
          </cell>
        </row>
        <row r="4484">
          <cell r="A4484" t="str">
            <v>201D</v>
          </cell>
        </row>
        <row r="4485">
          <cell r="A4485" t="str">
            <v>201E</v>
          </cell>
        </row>
        <row r="4486">
          <cell r="A4486" t="str">
            <v>201F</v>
          </cell>
        </row>
        <row r="4487">
          <cell r="A4487" t="str">
            <v>2020</v>
          </cell>
        </row>
        <row r="4488">
          <cell r="A4488" t="str">
            <v>2021</v>
          </cell>
        </row>
        <row r="4489">
          <cell r="A4489" t="str">
            <v>2022</v>
          </cell>
        </row>
        <row r="4490">
          <cell r="A4490" t="str">
            <v>2023</v>
          </cell>
        </row>
        <row r="4491">
          <cell r="A4491" t="str">
            <v>2024</v>
          </cell>
        </row>
        <row r="4492">
          <cell r="A4492" t="str">
            <v>2025</v>
          </cell>
        </row>
        <row r="4493">
          <cell r="A4493" t="str">
            <v>2026</v>
          </cell>
        </row>
        <row r="4494">
          <cell r="A4494" t="str">
            <v>2027</v>
          </cell>
        </row>
        <row r="4495">
          <cell r="A4495" t="str">
            <v>2028</v>
          </cell>
        </row>
        <row r="4496">
          <cell r="A4496" t="str">
            <v>2029</v>
          </cell>
        </row>
        <row r="4497">
          <cell r="A4497" t="str">
            <v>202A</v>
          </cell>
        </row>
        <row r="4498">
          <cell r="A4498" t="str">
            <v>202B</v>
          </cell>
        </row>
        <row r="4499">
          <cell r="A4499" t="str">
            <v>202C</v>
          </cell>
        </row>
        <row r="4500">
          <cell r="A4500" t="str">
            <v>202D</v>
          </cell>
        </row>
        <row r="4501">
          <cell r="A4501" t="str">
            <v>202E</v>
          </cell>
        </row>
        <row r="4502">
          <cell r="A4502" t="str">
            <v>202F</v>
          </cell>
        </row>
        <row r="4503">
          <cell r="A4503" t="str">
            <v>2030</v>
          </cell>
        </row>
        <row r="4504">
          <cell r="A4504" t="str">
            <v>2031</v>
          </cell>
        </row>
        <row r="4505">
          <cell r="A4505" t="str">
            <v>2032</v>
          </cell>
        </row>
        <row r="4506">
          <cell r="A4506" t="str">
            <v>2033</v>
          </cell>
        </row>
        <row r="4507">
          <cell r="A4507" t="str">
            <v>2034</v>
          </cell>
        </row>
        <row r="4508">
          <cell r="A4508" t="str">
            <v>2035</v>
          </cell>
        </row>
        <row r="4509">
          <cell r="A4509" t="str">
            <v>2036</v>
          </cell>
        </row>
        <row r="4510">
          <cell r="A4510" t="str">
            <v>2037</v>
          </cell>
        </row>
        <row r="4511">
          <cell r="A4511" t="str">
            <v>2038</v>
          </cell>
        </row>
        <row r="4512">
          <cell r="A4512" t="str">
            <v>2039</v>
          </cell>
        </row>
        <row r="4513">
          <cell r="A4513" t="str">
            <v>203A</v>
          </cell>
        </row>
        <row r="4514">
          <cell r="A4514" t="str">
            <v>203B</v>
          </cell>
        </row>
        <row r="4515">
          <cell r="A4515" t="str">
            <v>203C</v>
          </cell>
        </row>
        <row r="4516">
          <cell r="A4516" t="str">
            <v>203D</v>
          </cell>
        </row>
        <row r="4517">
          <cell r="A4517" t="str">
            <v>203E</v>
          </cell>
        </row>
        <row r="4518">
          <cell r="A4518" t="str">
            <v>203F</v>
          </cell>
        </row>
        <row r="4519">
          <cell r="A4519" t="str">
            <v>2040</v>
          </cell>
        </row>
        <row r="4520">
          <cell r="A4520" t="str">
            <v>2041</v>
          </cell>
        </row>
        <row r="4521">
          <cell r="A4521" t="str">
            <v>2042</v>
          </cell>
        </row>
        <row r="4522">
          <cell r="A4522" t="str">
            <v>2043</v>
          </cell>
        </row>
        <row r="4523">
          <cell r="A4523" t="str">
            <v>2044</v>
          </cell>
        </row>
        <row r="4524">
          <cell r="A4524" t="str">
            <v>2045</v>
          </cell>
        </row>
        <row r="4525">
          <cell r="A4525" t="str">
            <v>2046</v>
          </cell>
        </row>
        <row r="4526">
          <cell r="A4526" t="str">
            <v>2047</v>
          </cell>
        </row>
        <row r="4527">
          <cell r="A4527" t="str">
            <v>2048</v>
          </cell>
        </row>
        <row r="4528">
          <cell r="A4528" t="str">
            <v>2049</v>
          </cell>
        </row>
        <row r="4529">
          <cell r="A4529" t="str">
            <v>204A</v>
          </cell>
        </row>
        <row r="4530">
          <cell r="A4530" t="str">
            <v>204B</v>
          </cell>
        </row>
        <row r="4531">
          <cell r="A4531" t="str">
            <v>204C</v>
          </cell>
        </row>
        <row r="4532">
          <cell r="A4532" t="str">
            <v>204D</v>
          </cell>
        </row>
        <row r="4533">
          <cell r="A4533" t="str">
            <v>204E</v>
          </cell>
        </row>
        <row r="4534">
          <cell r="A4534" t="str">
            <v>204F</v>
          </cell>
        </row>
        <row r="4535">
          <cell r="A4535" t="str">
            <v>2050</v>
          </cell>
        </row>
        <row r="4536">
          <cell r="A4536" t="str">
            <v>2051</v>
          </cell>
        </row>
        <row r="4537">
          <cell r="A4537" t="str">
            <v>2052</v>
          </cell>
        </row>
        <row r="4538">
          <cell r="A4538" t="str">
            <v>2053</v>
          </cell>
        </row>
        <row r="4539">
          <cell r="A4539" t="str">
            <v>2054</v>
          </cell>
        </row>
        <row r="4540">
          <cell r="A4540" t="str">
            <v>2055</v>
          </cell>
        </row>
        <row r="4541">
          <cell r="A4541" t="str">
            <v>2056</v>
          </cell>
        </row>
        <row r="4542">
          <cell r="A4542" t="str">
            <v>2057</v>
          </cell>
        </row>
        <row r="4543">
          <cell r="A4543" t="str">
            <v>2058</v>
          </cell>
        </row>
        <row r="4544">
          <cell r="A4544" t="str">
            <v>2059</v>
          </cell>
        </row>
        <row r="4545">
          <cell r="A4545" t="str">
            <v>205A</v>
          </cell>
        </row>
        <row r="4546">
          <cell r="A4546" t="str">
            <v>205B</v>
          </cell>
        </row>
        <row r="4547">
          <cell r="A4547" t="str">
            <v>205C</v>
          </cell>
        </row>
        <row r="4548">
          <cell r="A4548" t="str">
            <v>205D</v>
          </cell>
        </row>
        <row r="4549">
          <cell r="A4549" t="str">
            <v>205E</v>
          </cell>
        </row>
        <row r="4550">
          <cell r="A4550" t="str">
            <v>205F</v>
          </cell>
        </row>
        <row r="4551">
          <cell r="A4551" t="str">
            <v>2060</v>
          </cell>
        </row>
        <row r="4552">
          <cell r="A4552" t="str">
            <v>2061</v>
          </cell>
        </row>
        <row r="4553">
          <cell r="A4553" t="str">
            <v>2062</v>
          </cell>
        </row>
        <row r="4554">
          <cell r="A4554" t="str">
            <v>2063</v>
          </cell>
        </row>
        <row r="4555">
          <cell r="A4555" t="str">
            <v>2064</v>
          </cell>
        </row>
        <row r="4556">
          <cell r="A4556" t="str">
            <v>2065</v>
          </cell>
        </row>
        <row r="4557">
          <cell r="A4557" t="str">
            <v>2066</v>
          </cell>
        </row>
        <row r="4558">
          <cell r="A4558" t="str">
            <v>2067</v>
          </cell>
        </row>
        <row r="4559">
          <cell r="A4559" t="str">
            <v>2068</v>
          </cell>
        </row>
        <row r="4560">
          <cell r="A4560" t="str">
            <v>2069</v>
          </cell>
        </row>
        <row r="4561">
          <cell r="A4561" t="str">
            <v>206A</v>
          </cell>
        </row>
        <row r="4562">
          <cell r="A4562" t="str">
            <v>206B</v>
          </cell>
        </row>
        <row r="4563">
          <cell r="A4563" t="str">
            <v>206C</v>
          </cell>
        </row>
        <row r="4564">
          <cell r="A4564" t="str">
            <v>206D</v>
          </cell>
        </row>
        <row r="4565">
          <cell r="A4565" t="str">
            <v>206E</v>
          </cell>
        </row>
        <row r="4566">
          <cell r="A4566" t="str">
            <v>206F</v>
          </cell>
        </row>
        <row r="4567">
          <cell r="A4567" t="str">
            <v>2070</v>
          </cell>
        </row>
        <row r="4568">
          <cell r="A4568" t="str">
            <v>2071</v>
          </cell>
        </row>
        <row r="4569">
          <cell r="A4569" t="str">
            <v>2072</v>
          </cell>
        </row>
        <row r="4570">
          <cell r="A4570" t="str">
            <v>2073</v>
          </cell>
        </row>
        <row r="4571">
          <cell r="A4571" t="str">
            <v>2074</v>
          </cell>
        </row>
        <row r="4572">
          <cell r="A4572" t="str">
            <v>2075</v>
          </cell>
        </row>
        <row r="4573">
          <cell r="A4573" t="str">
            <v>2076</v>
          </cell>
        </row>
        <row r="4574">
          <cell r="A4574" t="str">
            <v>2077</v>
          </cell>
        </row>
        <row r="4575">
          <cell r="A4575" t="str">
            <v>2078</v>
          </cell>
        </row>
        <row r="4576">
          <cell r="A4576" t="str">
            <v>2079</v>
          </cell>
        </row>
        <row r="4577">
          <cell r="A4577" t="str">
            <v>207A</v>
          </cell>
        </row>
        <row r="4578">
          <cell r="A4578" t="str">
            <v>207B</v>
          </cell>
        </row>
        <row r="4579">
          <cell r="A4579" t="str">
            <v>207C</v>
          </cell>
        </row>
        <row r="4580">
          <cell r="A4580" t="str">
            <v>207D</v>
          </cell>
        </row>
        <row r="4581">
          <cell r="A4581" t="str">
            <v>207E</v>
          </cell>
        </row>
        <row r="4582">
          <cell r="A4582" t="str">
            <v>207F</v>
          </cell>
        </row>
        <row r="4583">
          <cell r="A4583" t="str">
            <v>2080</v>
          </cell>
        </row>
        <row r="4584">
          <cell r="A4584" t="str">
            <v>2081</v>
          </cell>
        </row>
        <row r="4585">
          <cell r="A4585" t="str">
            <v>2082</v>
          </cell>
        </row>
        <row r="4586">
          <cell r="A4586" t="str">
            <v>2083</v>
          </cell>
        </row>
        <row r="4587">
          <cell r="A4587" t="str">
            <v>2084</v>
          </cell>
        </row>
        <row r="4588">
          <cell r="A4588" t="str">
            <v>2085</v>
          </cell>
        </row>
        <row r="4589">
          <cell r="A4589" t="str">
            <v>2086</v>
          </cell>
        </row>
        <row r="4590">
          <cell r="A4590" t="str">
            <v>2087</v>
          </cell>
        </row>
        <row r="4591">
          <cell r="A4591" t="str">
            <v>2088</v>
          </cell>
        </row>
        <row r="4592">
          <cell r="A4592" t="str">
            <v>2089</v>
          </cell>
        </row>
        <row r="4593">
          <cell r="A4593" t="str">
            <v>208A</v>
          </cell>
        </row>
        <row r="4594">
          <cell r="A4594" t="str">
            <v>208B</v>
          </cell>
        </row>
        <row r="4595">
          <cell r="A4595" t="str">
            <v>208C</v>
          </cell>
        </row>
        <row r="4596">
          <cell r="A4596" t="str">
            <v>208D</v>
          </cell>
        </row>
        <row r="4597">
          <cell r="A4597" t="str">
            <v>208E</v>
          </cell>
        </row>
        <row r="4598">
          <cell r="A4598" t="str">
            <v>208F</v>
          </cell>
        </row>
        <row r="4599">
          <cell r="A4599" t="str">
            <v>2090</v>
          </cell>
        </row>
        <row r="4600">
          <cell r="A4600" t="str">
            <v>2091</v>
          </cell>
        </row>
        <row r="4601">
          <cell r="A4601" t="str">
            <v>2092</v>
          </cell>
        </row>
        <row r="4602">
          <cell r="A4602" t="str">
            <v>2093</v>
          </cell>
        </row>
        <row r="4603">
          <cell r="A4603" t="str">
            <v>2094</v>
          </cell>
        </row>
        <row r="4604">
          <cell r="A4604" t="str">
            <v>2095</v>
          </cell>
        </row>
        <row r="4605">
          <cell r="A4605" t="str">
            <v>2096</v>
          </cell>
        </row>
        <row r="4606">
          <cell r="A4606" t="str">
            <v>2097</v>
          </cell>
        </row>
        <row r="4607">
          <cell r="A4607" t="str">
            <v>2098</v>
          </cell>
        </row>
        <row r="4608">
          <cell r="A4608" t="str">
            <v>2099</v>
          </cell>
        </row>
        <row r="4609">
          <cell r="A4609" t="str">
            <v>209A</v>
          </cell>
        </row>
        <row r="4610">
          <cell r="A4610" t="str">
            <v>209B</v>
          </cell>
        </row>
        <row r="4611">
          <cell r="A4611" t="str">
            <v>209C</v>
          </cell>
        </row>
        <row r="4612">
          <cell r="A4612" t="str">
            <v>209D</v>
          </cell>
        </row>
        <row r="4613">
          <cell r="A4613" t="str">
            <v>209E</v>
          </cell>
        </row>
        <row r="4614">
          <cell r="A4614" t="str">
            <v>209F</v>
          </cell>
        </row>
        <row r="4615">
          <cell r="A4615" t="str">
            <v>20A0</v>
          </cell>
        </row>
        <row r="4616">
          <cell r="A4616" t="str">
            <v>20A1</v>
          </cell>
        </row>
        <row r="4617">
          <cell r="A4617" t="str">
            <v>20A2</v>
          </cell>
        </row>
        <row r="4618">
          <cell r="A4618" t="str">
            <v>20A3</v>
          </cell>
        </row>
        <row r="4619">
          <cell r="A4619" t="str">
            <v>20A4</v>
          </cell>
        </row>
        <row r="4620">
          <cell r="A4620" t="str">
            <v>20A5</v>
          </cell>
        </row>
        <row r="4621">
          <cell r="A4621" t="str">
            <v>20A6</v>
          </cell>
        </row>
        <row r="4622">
          <cell r="A4622" t="str">
            <v>20A7</v>
          </cell>
        </row>
        <row r="4623">
          <cell r="A4623" t="str">
            <v>20A8</v>
          </cell>
        </row>
        <row r="4624">
          <cell r="A4624" t="str">
            <v>20A9</v>
          </cell>
        </row>
        <row r="4625">
          <cell r="A4625" t="str">
            <v>20AA</v>
          </cell>
        </row>
        <row r="4626">
          <cell r="A4626" t="str">
            <v>20AB</v>
          </cell>
        </row>
        <row r="4627">
          <cell r="A4627" t="str">
            <v>20AC</v>
          </cell>
        </row>
        <row r="4628">
          <cell r="A4628" t="str">
            <v>20AD</v>
          </cell>
        </row>
        <row r="4629">
          <cell r="A4629" t="str">
            <v>20AE</v>
          </cell>
        </row>
        <row r="4630">
          <cell r="A4630" t="str">
            <v>20AF</v>
          </cell>
        </row>
        <row r="4631">
          <cell r="A4631" t="str">
            <v>20B0</v>
          </cell>
        </row>
        <row r="4632">
          <cell r="A4632" t="str">
            <v>20B1</v>
          </cell>
        </row>
        <row r="4633">
          <cell r="A4633" t="str">
            <v>20B2</v>
          </cell>
        </row>
        <row r="4634">
          <cell r="A4634" t="str">
            <v>20B3</v>
          </cell>
        </row>
        <row r="4635">
          <cell r="A4635" t="str">
            <v>20B4</v>
          </cell>
        </row>
        <row r="4636">
          <cell r="A4636" t="str">
            <v>20B5</v>
          </cell>
        </row>
        <row r="4637">
          <cell r="A4637" t="str">
            <v>20B6</v>
          </cell>
        </row>
        <row r="4638">
          <cell r="A4638" t="str">
            <v>20B7</v>
          </cell>
        </row>
        <row r="4639">
          <cell r="A4639" t="str">
            <v>20B8</v>
          </cell>
        </row>
        <row r="4640">
          <cell r="A4640" t="str">
            <v>20B9</v>
          </cell>
        </row>
        <row r="4641">
          <cell r="A4641" t="str">
            <v>20BA</v>
          </cell>
        </row>
        <row r="4642">
          <cell r="A4642" t="str">
            <v>20BB</v>
          </cell>
        </row>
        <row r="4643">
          <cell r="A4643" t="str">
            <v>20BC</v>
          </cell>
        </row>
        <row r="4644">
          <cell r="A4644" t="str">
            <v>20BD</v>
          </cell>
        </row>
        <row r="4645">
          <cell r="A4645" t="str">
            <v>20BE</v>
          </cell>
        </row>
        <row r="4646">
          <cell r="A4646" t="str">
            <v>20BF</v>
          </cell>
        </row>
        <row r="4647">
          <cell r="A4647" t="str">
            <v>20C0</v>
          </cell>
        </row>
        <row r="4648">
          <cell r="A4648" t="str">
            <v>20C1</v>
          </cell>
        </row>
        <row r="4649">
          <cell r="A4649" t="str">
            <v>20C2</v>
          </cell>
        </row>
        <row r="4650">
          <cell r="A4650" t="str">
            <v>20C3</v>
          </cell>
        </row>
        <row r="4651">
          <cell r="A4651" t="str">
            <v>20C4</v>
          </cell>
        </row>
        <row r="4652">
          <cell r="A4652" t="str">
            <v>20C5</v>
          </cell>
        </row>
        <row r="4653">
          <cell r="A4653" t="str">
            <v>20C6</v>
          </cell>
        </row>
        <row r="4654">
          <cell r="A4654" t="str">
            <v>20C7</v>
          </cell>
        </row>
        <row r="4655">
          <cell r="A4655" t="str">
            <v>20C8</v>
          </cell>
        </row>
        <row r="4656">
          <cell r="A4656" t="str">
            <v>20C9</v>
          </cell>
        </row>
        <row r="4657">
          <cell r="A4657" t="str">
            <v>20CA</v>
          </cell>
        </row>
        <row r="4658">
          <cell r="A4658" t="str">
            <v>20CB</v>
          </cell>
        </row>
        <row r="4659">
          <cell r="A4659" t="str">
            <v>20CC</v>
          </cell>
        </row>
        <row r="4660">
          <cell r="A4660" t="str">
            <v>20CD</v>
          </cell>
        </row>
        <row r="4661">
          <cell r="A4661" t="str">
            <v>20CE</v>
          </cell>
        </row>
        <row r="4662">
          <cell r="A4662" t="str">
            <v>20CF</v>
          </cell>
        </row>
        <row r="4663">
          <cell r="A4663" t="str">
            <v>20D0</v>
          </cell>
        </row>
        <row r="4664">
          <cell r="A4664" t="str">
            <v>20D1</v>
          </cell>
        </row>
        <row r="4665">
          <cell r="A4665" t="str">
            <v>20D2</v>
          </cell>
        </row>
        <row r="4666">
          <cell r="A4666" t="str">
            <v>20D3</v>
          </cell>
        </row>
        <row r="4667">
          <cell r="A4667" t="str">
            <v>20D4</v>
          </cell>
        </row>
        <row r="4668">
          <cell r="A4668" t="str">
            <v>20D5</v>
          </cell>
        </row>
        <row r="4669">
          <cell r="A4669" t="str">
            <v>20D6</v>
          </cell>
        </row>
        <row r="4670">
          <cell r="A4670" t="str">
            <v>20D7</v>
          </cell>
        </row>
        <row r="4671">
          <cell r="A4671" t="str">
            <v>20D8</v>
          </cell>
        </row>
        <row r="4672">
          <cell r="A4672" t="str">
            <v>20D9</v>
          </cell>
        </row>
        <row r="4673">
          <cell r="A4673" t="str">
            <v>20DA</v>
          </cell>
        </row>
        <row r="4674">
          <cell r="A4674" t="str">
            <v>20DB</v>
          </cell>
        </row>
        <row r="4675">
          <cell r="A4675" t="str">
            <v>20DC</v>
          </cell>
        </row>
        <row r="4676">
          <cell r="A4676" t="str">
            <v>20DD</v>
          </cell>
        </row>
        <row r="4677">
          <cell r="A4677" t="str">
            <v>20DE</v>
          </cell>
        </row>
        <row r="4678">
          <cell r="A4678" t="str">
            <v>20DF</v>
          </cell>
        </row>
        <row r="4679">
          <cell r="A4679" t="str">
            <v>20E0</v>
          </cell>
        </row>
        <row r="4680">
          <cell r="A4680" t="str">
            <v>20E1</v>
          </cell>
        </row>
        <row r="4681">
          <cell r="A4681" t="str">
            <v>20E2</v>
          </cell>
        </row>
        <row r="4682">
          <cell r="A4682" t="str">
            <v>20E3</v>
          </cell>
        </row>
        <row r="4683">
          <cell r="A4683" t="str">
            <v>20E4</v>
          </cell>
        </row>
        <row r="4684">
          <cell r="A4684" t="str">
            <v>20E5</v>
          </cell>
        </row>
        <row r="4685">
          <cell r="A4685" t="str">
            <v>20E6</v>
          </cell>
        </row>
        <row r="4686">
          <cell r="A4686" t="str">
            <v>20E7</v>
          </cell>
        </row>
        <row r="4687">
          <cell r="A4687" t="str">
            <v>20E8</v>
          </cell>
        </row>
        <row r="4688">
          <cell r="A4688" t="str">
            <v>20E9</v>
          </cell>
        </row>
        <row r="4689">
          <cell r="A4689" t="str">
            <v>20EA</v>
          </cell>
        </row>
        <row r="4690">
          <cell r="A4690" t="str">
            <v>20EB</v>
          </cell>
        </row>
        <row r="4691">
          <cell r="A4691" t="str">
            <v>20EC</v>
          </cell>
        </row>
        <row r="4692">
          <cell r="A4692" t="str">
            <v>20ED</v>
          </cell>
        </row>
        <row r="4693">
          <cell r="A4693" t="str">
            <v>20EE</v>
          </cell>
        </row>
        <row r="4694">
          <cell r="A4694" t="str">
            <v>20EF</v>
          </cell>
        </row>
        <row r="4695">
          <cell r="A4695" t="str">
            <v>20F0</v>
          </cell>
        </row>
        <row r="4696">
          <cell r="A4696" t="str">
            <v>20F1</v>
          </cell>
        </row>
        <row r="4697">
          <cell r="A4697" t="str">
            <v>20F2</v>
          </cell>
        </row>
        <row r="4698">
          <cell r="A4698" t="str">
            <v>20F3</v>
          </cell>
        </row>
        <row r="4699">
          <cell r="A4699" t="str">
            <v>20F4</v>
          </cell>
        </row>
        <row r="4700">
          <cell r="A4700" t="str">
            <v>20F5</v>
          </cell>
        </row>
        <row r="4701">
          <cell r="A4701" t="str">
            <v>20F6</v>
          </cell>
        </row>
        <row r="4702">
          <cell r="A4702" t="str">
            <v>20F7</v>
          </cell>
        </row>
        <row r="4703">
          <cell r="A4703" t="str">
            <v>20F8</v>
          </cell>
        </row>
        <row r="4704">
          <cell r="A4704" t="str">
            <v>20F9</v>
          </cell>
        </row>
        <row r="4705">
          <cell r="A4705" t="str">
            <v>20FA</v>
          </cell>
        </row>
        <row r="4706">
          <cell r="A4706" t="str">
            <v>20FB</v>
          </cell>
        </row>
        <row r="4707">
          <cell r="A4707" t="str">
            <v>20FC</v>
          </cell>
        </row>
        <row r="4708">
          <cell r="A4708" t="str">
            <v>20FD</v>
          </cell>
        </row>
        <row r="4709">
          <cell r="A4709" t="str">
            <v>20FE</v>
          </cell>
        </row>
        <row r="4710">
          <cell r="A4710" t="str">
            <v>20FF</v>
          </cell>
        </row>
        <row r="4711">
          <cell r="A4711" t="str">
            <v>2100</v>
          </cell>
        </row>
        <row r="4712">
          <cell r="A4712" t="str">
            <v>2101</v>
          </cell>
        </row>
        <row r="4713">
          <cell r="A4713" t="str">
            <v>2102</v>
          </cell>
        </row>
        <row r="4714">
          <cell r="A4714" t="str">
            <v>2103</v>
          </cell>
        </row>
        <row r="4715">
          <cell r="A4715" t="str">
            <v>2104</v>
          </cell>
        </row>
        <row r="4716">
          <cell r="A4716" t="str">
            <v>2105</v>
          </cell>
        </row>
        <row r="4717">
          <cell r="A4717" t="str">
            <v>2106</v>
          </cell>
        </row>
        <row r="4718">
          <cell r="A4718" t="str">
            <v>2107</v>
          </cell>
        </row>
        <row r="4719">
          <cell r="A4719" t="str">
            <v>2108</v>
          </cell>
        </row>
        <row r="4720">
          <cell r="A4720" t="str">
            <v>2109</v>
          </cell>
        </row>
        <row r="4721">
          <cell r="A4721" t="str">
            <v>210A</v>
          </cell>
        </row>
        <row r="4722">
          <cell r="A4722" t="str">
            <v>210B</v>
          </cell>
        </row>
        <row r="4723">
          <cell r="A4723" t="str">
            <v>210C</v>
          </cell>
        </row>
        <row r="4724">
          <cell r="A4724" t="str">
            <v>210D</v>
          </cell>
        </row>
        <row r="4725">
          <cell r="A4725" t="str">
            <v>210E</v>
          </cell>
        </row>
        <row r="4726">
          <cell r="A4726" t="str">
            <v>210F</v>
          </cell>
        </row>
        <row r="4727">
          <cell r="A4727" t="str">
            <v>2110</v>
          </cell>
        </row>
        <row r="4728">
          <cell r="A4728" t="str">
            <v>2111</v>
          </cell>
        </row>
        <row r="4729">
          <cell r="A4729" t="str">
            <v>2112</v>
          </cell>
        </row>
        <row r="4730">
          <cell r="A4730" t="str">
            <v>2113</v>
          </cell>
        </row>
        <row r="4731">
          <cell r="A4731" t="str">
            <v>2114</v>
          </cell>
        </row>
        <row r="4732">
          <cell r="A4732" t="str">
            <v>2115</v>
          </cell>
        </row>
        <row r="4733">
          <cell r="A4733" t="str">
            <v>2116</v>
          </cell>
        </row>
        <row r="4734">
          <cell r="A4734" t="str">
            <v>2117</v>
          </cell>
        </row>
        <row r="4735">
          <cell r="A4735" t="str">
            <v>2118</v>
          </cell>
        </row>
        <row r="4736">
          <cell r="A4736" t="str">
            <v>2119</v>
          </cell>
        </row>
        <row r="4737">
          <cell r="A4737" t="str">
            <v>211A</v>
          </cell>
        </row>
        <row r="4738">
          <cell r="A4738" t="str">
            <v>211B</v>
          </cell>
        </row>
        <row r="4739">
          <cell r="A4739" t="str">
            <v>211C</v>
          </cell>
        </row>
        <row r="4740">
          <cell r="A4740" t="str">
            <v>211D</v>
          </cell>
        </row>
        <row r="4741">
          <cell r="A4741" t="str">
            <v>211E</v>
          </cell>
        </row>
        <row r="4742">
          <cell r="A4742" t="str">
            <v>211F</v>
          </cell>
        </row>
        <row r="4743">
          <cell r="A4743" t="str">
            <v>2120</v>
          </cell>
        </row>
        <row r="4744">
          <cell r="A4744" t="str">
            <v>2121</v>
          </cell>
        </row>
        <row r="4745">
          <cell r="A4745" t="str">
            <v>2122</v>
          </cell>
        </row>
        <row r="4746">
          <cell r="A4746" t="str">
            <v>2123</v>
          </cell>
        </row>
        <row r="4747">
          <cell r="A4747" t="str">
            <v>2124</v>
          </cell>
        </row>
        <row r="4748">
          <cell r="A4748" t="str">
            <v>2125</v>
          </cell>
        </row>
        <row r="4749">
          <cell r="A4749" t="str">
            <v>2126</v>
          </cell>
        </row>
        <row r="4750">
          <cell r="A4750" t="str">
            <v>2127</v>
          </cell>
        </row>
        <row r="4751">
          <cell r="A4751" t="str">
            <v>2128</v>
          </cell>
        </row>
        <row r="4752">
          <cell r="A4752" t="str">
            <v>2129</v>
          </cell>
        </row>
        <row r="4753">
          <cell r="A4753" t="str">
            <v>212A</v>
          </cell>
        </row>
        <row r="4754">
          <cell r="A4754" t="str">
            <v>212B</v>
          </cell>
        </row>
        <row r="4755">
          <cell r="A4755" t="str">
            <v>212C</v>
          </cell>
        </row>
        <row r="4756">
          <cell r="A4756" t="str">
            <v>212D</v>
          </cell>
        </row>
        <row r="4757">
          <cell r="A4757" t="str">
            <v>212E</v>
          </cell>
        </row>
        <row r="4758">
          <cell r="A4758" t="str">
            <v>212F</v>
          </cell>
        </row>
        <row r="4759">
          <cell r="A4759" t="str">
            <v>2130</v>
          </cell>
        </row>
        <row r="4760">
          <cell r="A4760" t="str">
            <v>2131</v>
          </cell>
        </row>
        <row r="4761">
          <cell r="A4761" t="str">
            <v>2132</v>
          </cell>
        </row>
        <row r="4762">
          <cell r="A4762" t="str">
            <v>2133</v>
          </cell>
        </row>
        <row r="4763">
          <cell r="A4763" t="str">
            <v>2134</v>
          </cell>
        </row>
        <row r="4764">
          <cell r="A4764" t="str">
            <v>2135</v>
          </cell>
        </row>
        <row r="4765">
          <cell r="A4765" t="str">
            <v>2136</v>
          </cell>
        </row>
        <row r="4766">
          <cell r="A4766" t="str">
            <v>2137</v>
          </cell>
        </row>
        <row r="4767">
          <cell r="A4767" t="str">
            <v>2138</v>
          </cell>
        </row>
        <row r="4768">
          <cell r="A4768" t="str">
            <v>2139</v>
          </cell>
        </row>
        <row r="4769">
          <cell r="A4769" t="str">
            <v>213A</v>
          </cell>
        </row>
        <row r="4770">
          <cell r="A4770" t="str">
            <v>213B</v>
          </cell>
        </row>
        <row r="4771">
          <cell r="A4771" t="str">
            <v>213C</v>
          </cell>
        </row>
        <row r="4772">
          <cell r="A4772" t="str">
            <v>213D</v>
          </cell>
        </row>
        <row r="4773">
          <cell r="A4773" t="str">
            <v>213E</v>
          </cell>
        </row>
        <row r="4774">
          <cell r="A4774" t="str">
            <v>213F</v>
          </cell>
        </row>
        <row r="4775">
          <cell r="A4775" t="str">
            <v>2140</v>
          </cell>
        </row>
        <row r="4776">
          <cell r="A4776" t="str">
            <v>2141</v>
          </cell>
        </row>
        <row r="4777">
          <cell r="A4777" t="str">
            <v>2142</v>
          </cell>
        </row>
        <row r="4778">
          <cell r="A4778" t="str">
            <v>2143</v>
          </cell>
        </row>
        <row r="4779">
          <cell r="A4779" t="str">
            <v>2144</v>
          </cell>
        </row>
        <row r="4780">
          <cell r="A4780" t="str">
            <v>2145</v>
          </cell>
        </row>
        <row r="4781">
          <cell r="A4781" t="str">
            <v>2146</v>
          </cell>
        </row>
        <row r="4782">
          <cell r="A4782" t="str">
            <v>2147</v>
          </cell>
        </row>
        <row r="4783">
          <cell r="A4783" t="str">
            <v>2148</v>
          </cell>
        </row>
        <row r="4784">
          <cell r="A4784" t="str">
            <v>2149</v>
          </cell>
        </row>
        <row r="4785">
          <cell r="A4785" t="str">
            <v>214A</v>
          </cell>
        </row>
        <row r="4786">
          <cell r="A4786" t="str">
            <v>214B</v>
          </cell>
        </row>
        <row r="4787">
          <cell r="A4787" t="str">
            <v>214C</v>
          </cell>
        </row>
        <row r="4788">
          <cell r="A4788" t="str">
            <v>214D</v>
          </cell>
        </row>
        <row r="4789">
          <cell r="A4789" t="str">
            <v>214E</v>
          </cell>
        </row>
        <row r="4790">
          <cell r="A4790" t="str">
            <v>214F</v>
          </cell>
        </row>
        <row r="4791">
          <cell r="A4791" t="str">
            <v>2150</v>
          </cell>
        </row>
        <row r="4792">
          <cell r="A4792" t="str">
            <v>2151</v>
          </cell>
        </row>
        <row r="4793">
          <cell r="A4793" t="str">
            <v>2152</v>
          </cell>
        </row>
        <row r="4794">
          <cell r="A4794" t="str">
            <v>2153</v>
          </cell>
        </row>
        <row r="4795">
          <cell r="A4795" t="str">
            <v>2154</v>
          </cell>
        </row>
        <row r="4796">
          <cell r="A4796" t="str">
            <v>2155</v>
          </cell>
        </row>
        <row r="4797">
          <cell r="A4797" t="str">
            <v>2156</v>
          </cell>
        </row>
        <row r="4798">
          <cell r="A4798" t="str">
            <v>2157</v>
          </cell>
        </row>
        <row r="4799">
          <cell r="A4799" t="str">
            <v>2158</v>
          </cell>
        </row>
        <row r="4800">
          <cell r="A4800" t="str">
            <v>2159</v>
          </cell>
        </row>
        <row r="4801">
          <cell r="A4801" t="str">
            <v>215A</v>
          </cell>
        </row>
        <row r="4802">
          <cell r="A4802" t="str">
            <v>215B</v>
          </cell>
        </row>
        <row r="4803">
          <cell r="A4803" t="str">
            <v>215C</v>
          </cell>
        </row>
        <row r="4804">
          <cell r="A4804" t="str">
            <v>215D</v>
          </cell>
        </row>
        <row r="4805">
          <cell r="A4805" t="str">
            <v>215E</v>
          </cell>
        </row>
        <row r="4806">
          <cell r="A4806" t="str">
            <v>215F</v>
          </cell>
        </row>
        <row r="4807">
          <cell r="A4807" t="str">
            <v>2160</v>
          </cell>
        </row>
        <row r="4808">
          <cell r="A4808" t="str">
            <v>2161</v>
          </cell>
        </row>
        <row r="4809">
          <cell r="A4809" t="str">
            <v>2162</v>
          </cell>
        </row>
        <row r="4810">
          <cell r="A4810" t="str">
            <v>2163</v>
          </cell>
        </row>
        <row r="4811">
          <cell r="A4811" t="str">
            <v>2164</v>
          </cell>
        </row>
        <row r="4812">
          <cell r="A4812" t="str">
            <v>2165</v>
          </cell>
        </row>
        <row r="4813">
          <cell r="A4813" t="str">
            <v>2166</v>
          </cell>
        </row>
        <row r="4814">
          <cell r="A4814" t="str">
            <v>2167</v>
          </cell>
        </row>
        <row r="4815">
          <cell r="A4815" t="str">
            <v>2168</v>
          </cell>
        </row>
        <row r="4816">
          <cell r="A4816" t="str">
            <v>2169</v>
          </cell>
        </row>
        <row r="4817">
          <cell r="A4817" t="str">
            <v>216A</v>
          </cell>
        </row>
        <row r="4818">
          <cell r="A4818" t="str">
            <v>216B</v>
          </cell>
        </row>
        <row r="4819">
          <cell r="A4819" t="str">
            <v>216C</v>
          </cell>
        </row>
        <row r="4820">
          <cell r="A4820" t="str">
            <v>216D</v>
          </cell>
        </row>
        <row r="4821">
          <cell r="A4821" t="str">
            <v>216E</v>
          </cell>
        </row>
        <row r="4822">
          <cell r="A4822" t="str">
            <v>216F</v>
          </cell>
        </row>
        <row r="4823">
          <cell r="A4823" t="str">
            <v>2170</v>
          </cell>
        </row>
        <row r="4824">
          <cell r="A4824" t="str">
            <v>2171</v>
          </cell>
        </row>
        <row r="4825">
          <cell r="A4825" t="str">
            <v>2172</v>
          </cell>
        </row>
        <row r="4826">
          <cell r="A4826" t="str">
            <v>2173</v>
          </cell>
        </row>
        <row r="4827">
          <cell r="A4827" t="str">
            <v>2174</v>
          </cell>
        </row>
        <row r="4828">
          <cell r="A4828" t="str">
            <v>2175</v>
          </cell>
        </row>
        <row r="4829">
          <cell r="A4829" t="str">
            <v>2176</v>
          </cell>
        </row>
        <row r="4830">
          <cell r="A4830" t="str">
            <v>2177</v>
          </cell>
        </row>
        <row r="4831">
          <cell r="A4831" t="str">
            <v>2178</v>
          </cell>
        </row>
        <row r="4832">
          <cell r="A4832" t="str">
            <v>2179</v>
          </cell>
        </row>
        <row r="4833">
          <cell r="A4833" t="str">
            <v>217A</v>
          </cell>
        </row>
        <row r="4834">
          <cell r="A4834" t="str">
            <v>217B</v>
          </cell>
        </row>
        <row r="4835">
          <cell r="A4835" t="str">
            <v>217C</v>
          </cell>
        </row>
        <row r="4836">
          <cell r="A4836" t="str">
            <v>217D</v>
          </cell>
        </row>
        <row r="4837">
          <cell r="A4837" t="str">
            <v>217E</v>
          </cell>
        </row>
        <row r="4838">
          <cell r="A4838" t="str">
            <v>217F</v>
          </cell>
        </row>
        <row r="4839">
          <cell r="A4839" t="str">
            <v>2180</v>
          </cell>
        </row>
        <row r="4840">
          <cell r="A4840" t="str">
            <v>2181</v>
          </cell>
        </row>
        <row r="4841">
          <cell r="A4841" t="str">
            <v>2182</v>
          </cell>
        </row>
        <row r="4842">
          <cell r="A4842" t="str">
            <v>2183</v>
          </cell>
        </row>
        <row r="4843">
          <cell r="A4843" t="str">
            <v>2184</v>
          </cell>
        </row>
        <row r="4844">
          <cell r="A4844" t="str">
            <v>2185</v>
          </cell>
        </row>
        <row r="4845">
          <cell r="A4845" t="str">
            <v>2186</v>
          </cell>
        </row>
        <row r="4846">
          <cell r="A4846" t="str">
            <v>2187</v>
          </cell>
        </row>
        <row r="4847">
          <cell r="A4847" t="str">
            <v>2188</v>
          </cell>
        </row>
        <row r="4848">
          <cell r="A4848" t="str">
            <v>2189</v>
          </cell>
        </row>
        <row r="4849">
          <cell r="A4849" t="str">
            <v>218A</v>
          </cell>
        </row>
        <row r="4850">
          <cell r="A4850" t="str">
            <v>218B</v>
          </cell>
        </row>
        <row r="4851">
          <cell r="A4851" t="str">
            <v>218C</v>
          </cell>
        </row>
        <row r="4852">
          <cell r="A4852" t="str">
            <v>218D</v>
          </cell>
        </row>
        <row r="4853">
          <cell r="A4853" t="str">
            <v>218E</v>
          </cell>
        </row>
        <row r="4854">
          <cell r="A4854" t="str">
            <v>218F</v>
          </cell>
        </row>
        <row r="4855">
          <cell r="A4855" t="str">
            <v>2190</v>
          </cell>
        </row>
        <row r="4856">
          <cell r="A4856" t="str">
            <v>2191</v>
          </cell>
        </row>
        <row r="4857">
          <cell r="A4857" t="str">
            <v>2192</v>
          </cell>
        </row>
        <row r="4858">
          <cell r="A4858" t="str">
            <v>2193</v>
          </cell>
        </row>
        <row r="4859">
          <cell r="A4859" t="str">
            <v>2194</v>
          </cell>
        </row>
        <row r="4860">
          <cell r="A4860" t="str">
            <v>2195</v>
          </cell>
        </row>
        <row r="4861">
          <cell r="A4861" t="str">
            <v>2196</v>
          </cell>
        </row>
        <row r="4862">
          <cell r="A4862" t="str">
            <v>2197</v>
          </cell>
        </row>
        <row r="4863">
          <cell r="A4863" t="str">
            <v>2198</v>
          </cell>
        </row>
        <row r="4864">
          <cell r="A4864" t="str">
            <v>2199</v>
          </cell>
        </row>
        <row r="4865">
          <cell r="A4865" t="str">
            <v>219A</v>
          </cell>
        </row>
        <row r="4866">
          <cell r="A4866" t="str">
            <v>219B</v>
          </cell>
        </row>
        <row r="4867">
          <cell r="A4867" t="str">
            <v>219C</v>
          </cell>
        </row>
        <row r="4868">
          <cell r="A4868" t="str">
            <v>219D</v>
          </cell>
        </row>
        <row r="4869">
          <cell r="A4869" t="str">
            <v>219E</v>
          </cell>
        </row>
        <row r="4870">
          <cell r="A4870" t="str">
            <v>219F</v>
          </cell>
        </row>
        <row r="4871">
          <cell r="A4871" t="str">
            <v>21A0</v>
          </cell>
        </row>
        <row r="4872">
          <cell r="A4872" t="str">
            <v>21A1</v>
          </cell>
        </row>
        <row r="4873">
          <cell r="A4873" t="str">
            <v>21A2</v>
          </cell>
        </row>
        <row r="4874">
          <cell r="A4874" t="str">
            <v>21A3</v>
          </cell>
        </row>
        <row r="4875">
          <cell r="A4875" t="str">
            <v>21A4</v>
          </cell>
        </row>
        <row r="4876">
          <cell r="A4876" t="str">
            <v>21A5</v>
          </cell>
        </row>
        <row r="4877">
          <cell r="A4877" t="str">
            <v>21A6</v>
          </cell>
        </row>
        <row r="4878">
          <cell r="A4878" t="str">
            <v>21A7</v>
          </cell>
        </row>
        <row r="4879">
          <cell r="A4879" t="str">
            <v>21A8</v>
          </cell>
        </row>
        <row r="4880">
          <cell r="A4880" t="str">
            <v>21A9</v>
          </cell>
        </row>
        <row r="4881">
          <cell r="A4881" t="str">
            <v>21AA</v>
          </cell>
        </row>
        <row r="4882">
          <cell r="A4882" t="str">
            <v>21AB</v>
          </cell>
        </row>
        <row r="4883">
          <cell r="A4883" t="str">
            <v>21AC</v>
          </cell>
        </row>
        <row r="4884">
          <cell r="A4884" t="str">
            <v>21AD</v>
          </cell>
        </row>
        <row r="4885">
          <cell r="A4885" t="str">
            <v>21AE</v>
          </cell>
        </row>
        <row r="4886">
          <cell r="A4886" t="str">
            <v>21AF</v>
          </cell>
        </row>
        <row r="4887">
          <cell r="A4887" t="str">
            <v>21B0</v>
          </cell>
        </row>
        <row r="4888">
          <cell r="A4888" t="str">
            <v>21B1</v>
          </cell>
        </row>
        <row r="4889">
          <cell r="A4889" t="str">
            <v>21B2</v>
          </cell>
        </row>
        <row r="4890">
          <cell r="A4890" t="str">
            <v>21B3</v>
          </cell>
        </row>
        <row r="4891">
          <cell r="A4891" t="str">
            <v>21B4</v>
          </cell>
        </row>
        <row r="4892">
          <cell r="A4892" t="str">
            <v>21B5</v>
          </cell>
        </row>
        <row r="4893">
          <cell r="A4893" t="str">
            <v>21B6</v>
          </cell>
        </row>
        <row r="4894">
          <cell r="A4894" t="str">
            <v>21B7</v>
          </cell>
        </row>
        <row r="4895">
          <cell r="A4895" t="str">
            <v>21B8</v>
          </cell>
        </row>
        <row r="4896">
          <cell r="A4896" t="str">
            <v>21B9</v>
          </cell>
        </row>
        <row r="4897">
          <cell r="A4897" t="str">
            <v>21BA</v>
          </cell>
        </row>
        <row r="4898">
          <cell r="A4898" t="str">
            <v>21BB</v>
          </cell>
        </row>
        <row r="4899">
          <cell r="A4899" t="str">
            <v>21BC</v>
          </cell>
        </row>
        <row r="4900">
          <cell r="A4900" t="str">
            <v>21BD</v>
          </cell>
        </row>
        <row r="4901">
          <cell r="A4901" t="str">
            <v>21BE</v>
          </cell>
        </row>
        <row r="4902">
          <cell r="A4902" t="str">
            <v>21BF</v>
          </cell>
        </row>
        <row r="4903">
          <cell r="A4903" t="str">
            <v>21C0</v>
          </cell>
        </row>
        <row r="4904">
          <cell r="A4904" t="str">
            <v>21C1</v>
          </cell>
        </row>
        <row r="4905">
          <cell r="A4905" t="str">
            <v>21C2</v>
          </cell>
        </row>
        <row r="4906">
          <cell r="A4906" t="str">
            <v>21C3</v>
          </cell>
        </row>
        <row r="4907">
          <cell r="A4907" t="str">
            <v>21C4</v>
          </cell>
        </row>
        <row r="4908">
          <cell r="A4908" t="str">
            <v>21C5</v>
          </cell>
        </row>
        <row r="4909">
          <cell r="A4909" t="str">
            <v>21C6</v>
          </cell>
        </row>
        <row r="4910">
          <cell r="A4910" t="str">
            <v>21C7</v>
          </cell>
        </row>
        <row r="4911">
          <cell r="A4911" t="str">
            <v>21C8</v>
          </cell>
        </row>
        <row r="4912">
          <cell r="A4912" t="str">
            <v>21C9</v>
          </cell>
        </row>
        <row r="4913">
          <cell r="A4913" t="str">
            <v>21CA</v>
          </cell>
        </row>
        <row r="4914">
          <cell r="A4914" t="str">
            <v>21CB</v>
          </cell>
        </row>
        <row r="4915">
          <cell r="A4915" t="str">
            <v>21CC</v>
          </cell>
        </row>
        <row r="4916">
          <cell r="A4916" t="str">
            <v>21CD</v>
          </cell>
        </row>
        <row r="4917">
          <cell r="A4917" t="str">
            <v>21CE</v>
          </cell>
        </row>
        <row r="4918">
          <cell r="A4918" t="str">
            <v>21CF</v>
          </cell>
        </row>
        <row r="4919">
          <cell r="A4919" t="str">
            <v>21D0</v>
          </cell>
        </row>
        <row r="4920">
          <cell r="A4920" t="str">
            <v>21D1</v>
          </cell>
        </row>
        <row r="4921">
          <cell r="A4921" t="str">
            <v>21D2</v>
          </cell>
        </row>
        <row r="4922">
          <cell r="A4922" t="str">
            <v>21D3</v>
          </cell>
        </row>
        <row r="4923">
          <cell r="A4923" t="str">
            <v>21D4</v>
          </cell>
        </row>
        <row r="4924">
          <cell r="A4924" t="str">
            <v>21D5</v>
          </cell>
        </row>
        <row r="4925">
          <cell r="A4925" t="str">
            <v>21D6</v>
          </cell>
        </row>
        <row r="4926">
          <cell r="A4926" t="str">
            <v>21D7</v>
          </cell>
        </row>
        <row r="4927">
          <cell r="A4927" t="str">
            <v>21D8</v>
          </cell>
        </row>
        <row r="4928">
          <cell r="A4928" t="str">
            <v>21D9</v>
          </cell>
        </row>
        <row r="4929">
          <cell r="A4929" t="str">
            <v>21DA</v>
          </cell>
        </row>
        <row r="4930">
          <cell r="A4930" t="str">
            <v>21DB</v>
          </cell>
        </row>
        <row r="4931">
          <cell r="A4931" t="str">
            <v>21DC</v>
          </cell>
        </row>
        <row r="4932">
          <cell r="A4932" t="str">
            <v>21DD</v>
          </cell>
        </row>
        <row r="4933">
          <cell r="A4933" t="str">
            <v>21DE</v>
          </cell>
        </row>
        <row r="4934">
          <cell r="A4934" t="str">
            <v>21DF</v>
          </cell>
        </row>
        <row r="4935">
          <cell r="A4935" t="str">
            <v>21E0</v>
          </cell>
        </row>
        <row r="4936">
          <cell r="A4936" t="str">
            <v>21E1</v>
          </cell>
        </row>
        <row r="4937">
          <cell r="A4937" t="str">
            <v>21E2</v>
          </cell>
        </row>
        <row r="4938">
          <cell r="A4938" t="str">
            <v>21E3</v>
          </cell>
        </row>
        <row r="4939">
          <cell r="A4939" t="str">
            <v>21E4</v>
          </cell>
        </row>
        <row r="4940">
          <cell r="A4940" t="str">
            <v>21E5</v>
          </cell>
        </row>
        <row r="4941">
          <cell r="A4941" t="str">
            <v>21E6</v>
          </cell>
        </row>
        <row r="4942">
          <cell r="A4942" t="str">
            <v>21E7</v>
          </cell>
        </row>
        <row r="4943">
          <cell r="A4943" t="str">
            <v>21E8</v>
          </cell>
        </row>
        <row r="4944">
          <cell r="A4944" t="str">
            <v>21E9</v>
          </cell>
        </row>
        <row r="4945">
          <cell r="A4945" t="str">
            <v>21EA</v>
          </cell>
        </row>
        <row r="4946">
          <cell r="A4946" t="str">
            <v>21EB</v>
          </cell>
        </row>
        <row r="4947">
          <cell r="A4947" t="str">
            <v>21EC</v>
          </cell>
        </row>
        <row r="4948">
          <cell r="A4948" t="str">
            <v>21ED</v>
          </cell>
        </row>
        <row r="4949">
          <cell r="A4949" t="str">
            <v>21EE</v>
          </cell>
        </row>
        <row r="4950">
          <cell r="A4950" t="str">
            <v>21EF</v>
          </cell>
        </row>
        <row r="4951">
          <cell r="A4951" t="str">
            <v>21F0</v>
          </cell>
        </row>
        <row r="4952">
          <cell r="A4952" t="str">
            <v>21F1</v>
          </cell>
        </row>
        <row r="4953">
          <cell r="A4953" t="str">
            <v>21F2</v>
          </cell>
        </row>
        <row r="4954">
          <cell r="A4954" t="str">
            <v>21F3</v>
          </cell>
        </row>
        <row r="4955">
          <cell r="A4955" t="str">
            <v>21F4</v>
          </cell>
        </row>
        <row r="4956">
          <cell r="A4956" t="str">
            <v>21F5</v>
          </cell>
        </row>
        <row r="4957">
          <cell r="A4957" t="str">
            <v>21F6</v>
          </cell>
        </row>
        <row r="4958">
          <cell r="A4958" t="str">
            <v>21F7</v>
          </cell>
        </row>
        <row r="4959">
          <cell r="A4959" t="str">
            <v>21F8</v>
          </cell>
        </row>
        <row r="4960">
          <cell r="A4960" t="str">
            <v>21F9</v>
          </cell>
        </row>
        <row r="4961">
          <cell r="A4961" t="str">
            <v>21FA</v>
          </cell>
        </row>
        <row r="4962">
          <cell r="A4962" t="str">
            <v>21FB</v>
          </cell>
        </row>
        <row r="4963">
          <cell r="A4963" t="str">
            <v>21FC</v>
          </cell>
        </row>
        <row r="4964">
          <cell r="A4964" t="str">
            <v>21FD</v>
          </cell>
        </row>
        <row r="4965">
          <cell r="A4965" t="str">
            <v>21FE</v>
          </cell>
        </row>
        <row r="4966">
          <cell r="A4966" t="str">
            <v>21FF</v>
          </cell>
        </row>
        <row r="4967">
          <cell r="A4967" t="str">
            <v>2200</v>
          </cell>
        </row>
        <row r="4968">
          <cell r="A4968" t="str">
            <v>2201</v>
          </cell>
        </row>
        <row r="4969">
          <cell r="A4969" t="str">
            <v>2202</v>
          </cell>
        </row>
        <row r="4970">
          <cell r="A4970" t="str">
            <v>2203</v>
          </cell>
        </row>
        <row r="4971">
          <cell r="A4971" t="str">
            <v>2204</v>
          </cell>
        </row>
        <row r="4972">
          <cell r="A4972" t="str">
            <v>2205</v>
          </cell>
        </row>
        <row r="4973">
          <cell r="A4973" t="str">
            <v>2206</v>
          </cell>
        </row>
        <row r="4974">
          <cell r="A4974" t="str">
            <v>2207</v>
          </cell>
        </row>
        <row r="4975">
          <cell r="A4975" t="str">
            <v>2208</v>
          </cell>
        </row>
        <row r="4976">
          <cell r="A4976" t="str">
            <v>2209</v>
          </cell>
        </row>
        <row r="4977">
          <cell r="A4977" t="str">
            <v>220A</v>
          </cell>
        </row>
        <row r="4978">
          <cell r="A4978" t="str">
            <v>220B</v>
          </cell>
        </row>
        <row r="4979">
          <cell r="A4979" t="str">
            <v>220C</v>
          </cell>
        </row>
        <row r="4980">
          <cell r="A4980" t="str">
            <v>220D</v>
          </cell>
        </row>
        <row r="4981">
          <cell r="A4981" t="str">
            <v>220E</v>
          </cell>
        </row>
        <row r="4982">
          <cell r="A4982" t="str">
            <v>220F</v>
          </cell>
        </row>
        <row r="4983">
          <cell r="A4983" t="str">
            <v>2210</v>
          </cell>
        </row>
        <row r="4984">
          <cell r="A4984" t="str">
            <v>2211</v>
          </cell>
        </row>
        <row r="4985">
          <cell r="A4985" t="str">
            <v>2212</v>
          </cell>
        </row>
        <row r="4986">
          <cell r="A4986" t="str">
            <v>2213</v>
          </cell>
        </row>
        <row r="4987">
          <cell r="A4987" t="str">
            <v>2214</v>
          </cell>
        </row>
        <row r="4988">
          <cell r="A4988" t="str">
            <v>2215</v>
          </cell>
        </row>
        <row r="4989">
          <cell r="A4989" t="str">
            <v>2216</v>
          </cell>
        </row>
        <row r="4990">
          <cell r="A4990" t="str">
            <v>2217</v>
          </cell>
        </row>
        <row r="4991">
          <cell r="A4991" t="str">
            <v>2218</v>
          </cell>
        </row>
        <row r="4992">
          <cell r="A4992" t="str">
            <v>2219</v>
          </cell>
        </row>
        <row r="4993">
          <cell r="A4993" t="str">
            <v>221A</v>
          </cell>
        </row>
        <row r="4994">
          <cell r="A4994" t="str">
            <v>221B</v>
          </cell>
        </row>
        <row r="4995">
          <cell r="A4995" t="str">
            <v>221C</v>
          </cell>
        </row>
        <row r="4996">
          <cell r="A4996" t="str">
            <v>221D</v>
          </cell>
        </row>
        <row r="4997">
          <cell r="A4997" t="str">
            <v>221E</v>
          </cell>
        </row>
        <row r="4998">
          <cell r="A4998" t="str">
            <v>221F</v>
          </cell>
        </row>
        <row r="4999">
          <cell r="A4999" t="str">
            <v>2220</v>
          </cell>
        </row>
        <row r="5000">
          <cell r="A5000" t="str">
            <v>2221</v>
          </cell>
        </row>
        <row r="5001">
          <cell r="A5001" t="str">
            <v>2222</v>
          </cell>
        </row>
        <row r="5002">
          <cell r="A5002" t="str">
            <v>2223</v>
          </cell>
        </row>
        <row r="5003">
          <cell r="A5003" t="str">
            <v>2224</v>
          </cell>
        </row>
        <row r="5004">
          <cell r="A5004" t="str">
            <v>2225</v>
          </cell>
        </row>
        <row r="5005">
          <cell r="A5005" t="str">
            <v>2226</v>
          </cell>
        </row>
        <row r="5006">
          <cell r="A5006" t="str">
            <v>2227</v>
          </cell>
        </row>
        <row r="5007">
          <cell r="A5007" t="str">
            <v>2228</v>
          </cell>
        </row>
        <row r="5008">
          <cell r="A5008" t="str">
            <v>2229</v>
          </cell>
        </row>
        <row r="5009">
          <cell r="A5009" t="str">
            <v>222A</v>
          </cell>
        </row>
        <row r="5010">
          <cell r="A5010" t="str">
            <v>222B</v>
          </cell>
        </row>
        <row r="5011">
          <cell r="A5011" t="str">
            <v>222C</v>
          </cell>
        </row>
        <row r="5012">
          <cell r="A5012" t="str">
            <v>222D</v>
          </cell>
        </row>
        <row r="5013">
          <cell r="A5013" t="str">
            <v>222E</v>
          </cell>
        </row>
        <row r="5014">
          <cell r="A5014" t="str">
            <v>222F</v>
          </cell>
        </row>
        <row r="5015">
          <cell r="A5015" t="str">
            <v>2230</v>
          </cell>
        </row>
        <row r="5016">
          <cell r="A5016" t="str">
            <v>2231</v>
          </cell>
        </row>
        <row r="5017">
          <cell r="A5017" t="str">
            <v>2232</v>
          </cell>
        </row>
        <row r="5018">
          <cell r="A5018" t="str">
            <v>2233</v>
          </cell>
        </row>
        <row r="5019">
          <cell r="A5019" t="str">
            <v>2234</v>
          </cell>
        </row>
        <row r="5020">
          <cell r="A5020" t="str">
            <v>2235</v>
          </cell>
        </row>
        <row r="5021">
          <cell r="A5021" t="str">
            <v>2236</v>
          </cell>
        </row>
        <row r="5022">
          <cell r="A5022" t="str">
            <v>2237</v>
          </cell>
        </row>
        <row r="5023">
          <cell r="A5023" t="str">
            <v>2238</v>
          </cell>
        </row>
        <row r="5024">
          <cell r="A5024" t="str">
            <v>2239</v>
          </cell>
        </row>
        <row r="5025">
          <cell r="A5025" t="str">
            <v>2240</v>
          </cell>
        </row>
        <row r="5026">
          <cell r="A5026" t="str">
            <v>2241</v>
          </cell>
        </row>
        <row r="5027">
          <cell r="A5027" t="str">
            <v>2242</v>
          </cell>
        </row>
        <row r="5028">
          <cell r="A5028" t="str">
            <v>2243</v>
          </cell>
        </row>
        <row r="5029">
          <cell r="A5029" t="str">
            <v>2244</v>
          </cell>
        </row>
        <row r="5030">
          <cell r="A5030" t="str">
            <v>2245</v>
          </cell>
        </row>
        <row r="5031">
          <cell r="A5031" t="str">
            <v>2246</v>
          </cell>
        </row>
        <row r="5032">
          <cell r="A5032" t="str">
            <v>2247</v>
          </cell>
        </row>
        <row r="5033">
          <cell r="A5033" t="str">
            <v>2248</v>
          </cell>
        </row>
        <row r="5034">
          <cell r="A5034" t="str">
            <v>2249</v>
          </cell>
        </row>
        <row r="5035">
          <cell r="A5035" t="str">
            <v>224A</v>
          </cell>
        </row>
        <row r="5036">
          <cell r="A5036" t="str">
            <v>224B</v>
          </cell>
        </row>
        <row r="5037">
          <cell r="A5037" t="str">
            <v>224C</v>
          </cell>
        </row>
        <row r="5038">
          <cell r="A5038" t="str">
            <v>224D</v>
          </cell>
        </row>
        <row r="5039">
          <cell r="A5039" t="str">
            <v>224E</v>
          </cell>
        </row>
        <row r="5040">
          <cell r="A5040" t="str">
            <v>224F</v>
          </cell>
        </row>
        <row r="5041">
          <cell r="A5041" t="str">
            <v>2250</v>
          </cell>
        </row>
        <row r="5042">
          <cell r="A5042" t="str">
            <v>2251</v>
          </cell>
        </row>
        <row r="5043">
          <cell r="A5043" t="str">
            <v>2252</v>
          </cell>
        </row>
        <row r="5044">
          <cell r="A5044" t="str">
            <v>2253</v>
          </cell>
        </row>
        <row r="5045">
          <cell r="A5045" t="str">
            <v>2254</v>
          </cell>
        </row>
        <row r="5046">
          <cell r="A5046" t="str">
            <v>2255</v>
          </cell>
        </row>
        <row r="5047">
          <cell r="A5047" t="str">
            <v>2256</v>
          </cell>
        </row>
        <row r="5048">
          <cell r="A5048" t="str">
            <v>2257</v>
          </cell>
        </row>
        <row r="5049">
          <cell r="A5049" t="str">
            <v>2258</v>
          </cell>
        </row>
        <row r="5050">
          <cell r="A5050" t="str">
            <v>2259</v>
          </cell>
        </row>
        <row r="5051">
          <cell r="A5051" t="str">
            <v>225A</v>
          </cell>
        </row>
        <row r="5052">
          <cell r="A5052" t="str">
            <v>225B</v>
          </cell>
        </row>
        <row r="5053">
          <cell r="A5053" t="str">
            <v>225C</v>
          </cell>
        </row>
        <row r="5054">
          <cell r="A5054" t="str">
            <v>225D</v>
          </cell>
        </row>
        <row r="5055">
          <cell r="A5055" t="str">
            <v>225E</v>
          </cell>
        </row>
        <row r="5056">
          <cell r="A5056" t="str">
            <v>225F</v>
          </cell>
        </row>
        <row r="5057">
          <cell r="A5057" t="str">
            <v>2260</v>
          </cell>
        </row>
        <row r="5058">
          <cell r="A5058" t="str">
            <v>2261</v>
          </cell>
        </row>
        <row r="5059">
          <cell r="A5059" t="str">
            <v>2262</v>
          </cell>
        </row>
        <row r="5060">
          <cell r="A5060" t="str">
            <v>2263</v>
          </cell>
        </row>
        <row r="5061">
          <cell r="A5061" t="str">
            <v>2264</v>
          </cell>
        </row>
        <row r="5062">
          <cell r="A5062" t="str">
            <v>2265</v>
          </cell>
        </row>
        <row r="5063">
          <cell r="A5063" t="str">
            <v>2266</v>
          </cell>
        </row>
        <row r="5064">
          <cell r="A5064" t="str">
            <v>2267</v>
          </cell>
        </row>
        <row r="5065">
          <cell r="A5065" t="str">
            <v>2268</v>
          </cell>
        </row>
        <row r="5066">
          <cell r="A5066" t="str">
            <v>2269</v>
          </cell>
        </row>
        <row r="5067">
          <cell r="A5067" t="str">
            <v>226A</v>
          </cell>
        </row>
        <row r="5068">
          <cell r="A5068" t="str">
            <v>226B</v>
          </cell>
        </row>
        <row r="5069">
          <cell r="A5069" t="str">
            <v>226C</v>
          </cell>
        </row>
        <row r="5070">
          <cell r="A5070" t="str">
            <v>226D</v>
          </cell>
        </row>
        <row r="5071">
          <cell r="A5071" t="str">
            <v>226E</v>
          </cell>
        </row>
        <row r="5072">
          <cell r="A5072" t="str">
            <v>226F</v>
          </cell>
        </row>
        <row r="5073">
          <cell r="A5073" t="str">
            <v>2270</v>
          </cell>
        </row>
        <row r="5074">
          <cell r="A5074" t="str">
            <v>2271</v>
          </cell>
        </row>
        <row r="5075">
          <cell r="A5075" t="str">
            <v>2272</v>
          </cell>
        </row>
        <row r="5076">
          <cell r="A5076" t="str">
            <v>2273</v>
          </cell>
        </row>
        <row r="5077">
          <cell r="A5077" t="str">
            <v>2274</v>
          </cell>
        </row>
        <row r="5078">
          <cell r="A5078" t="str">
            <v>2275</v>
          </cell>
        </row>
        <row r="5079">
          <cell r="A5079" t="str">
            <v>2276</v>
          </cell>
        </row>
        <row r="5080">
          <cell r="A5080" t="str">
            <v>2277</v>
          </cell>
        </row>
        <row r="5081">
          <cell r="A5081" t="str">
            <v>2278</v>
          </cell>
        </row>
        <row r="5082">
          <cell r="A5082" t="str">
            <v>2279</v>
          </cell>
        </row>
        <row r="5083">
          <cell r="A5083" t="str">
            <v>227A</v>
          </cell>
        </row>
        <row r="5084">
          <cell r="A5084" t="str">
            <v>227B</v>
          </cell>
        </row>
        <row r="5085">
          <cell r="A5085" t="str">
            <v>227C</v>
          </cell>
        </row>
        <row r="5086">
          <cell r="A5086" t="str">
            <v>227D</v>
          </cell>
        </row>
        <row r="5087">
          <cell r="A5087" t="str">
            <v>227E</v>
          </cell>
        </row>
        <row r="5088">
          <cell r="A5088" t="str">
            <v>227F</v>
          </cell>
        </row>
        <row r="5089">
          <cell r="A5089" t="str">
            <v>2280</v>
          </cell>
        </row>
        <row r="5090">
          <cell r="A5090" t="str">
            <v>2281</v>
          </cell>
        </row>
        <row r="5091">
          <cell r="A5091" t="str">
            <v>2282</v>
          </cell>
        </row>
        <row r="5092">
          <cell r="A5092" t="str">
            <v>2283</v>
          </cell>
        </row>
        <row r="5093">
          <cell r="A5093" t="str">
            <v>2284</v>
          </cell>
        </row>
        <row r="5094">
          <cell r="A5094" t="str">
            <v>2285</v>
          </cell>
        </row>
        <row r="5095">
          <cell r="A5095" t="str">
            <v>2286</v>
          </cell>
        </row>
        <row r="5096">
          <cell r="A5096" t="str">
            <v>2287</v>
          </cell>
        </row>
        <row r="5097">
          <cell r="A5097" t="str">
            <v>2288</v>
          </cell>
        </row>
        <row r="5098">
          <cell r="A5098" t="str">
            <v>2289</v>
          </cell>
        </row>
        <row r="5099">
          <cell r="A5099" t="str">
            <v>228A</v>
          </cell>
        </row>
        <row r="5100">
          <cell r="A5100" t="str">
            <v>228B</v>
          </cell>
        </row>
        <row r="5101">
          <cell r="A5101" t="str">
            <v>228C</v>
          </cell>
        </row>
        <row r="5102">
          <cell r="A5102" t="str">
            <v>228D</v>
          </cell>
        </row>
        <row r="5103">
          <cell r="A5103" t="str">
            <v>228E</v>
          </cell>
        </row>
        <row r="5104">
          <cell r="A5104" t="str">
            <v>228F</v>
          </cell>
        </row>
        <row r="5105">
          <cell r="A5105" t="str">
            <v>2290</v>
          </cell>
        </row>
        <row r="5106">
          <cell r="A5106" t="str">
            <v>2291</v>
          </cell>
        </row>
        <row r="5107">
          <cell r="A5107" t="str">
            <v>2292</v>
          </cell>
        </row>
        <row r="5108">
          <cell r="A5108" t="str">
            <v>2293</v>
          </cell>
        </row>
        <row r="5109">
          <cell r="A5109" t="str">
            <v>2294</v>
          </cell>
        </row>
        <row r="5110">
          <cell r="A5110" t="str">
            <v>2295</v>
          </cell>
        </row>
        <row r="5111">
          <cell r="A5111" t="str">
            <v>2296</v>
          </cell>
        </row>
        <row r="5112">
          <cell r="A5112" t="str">
            <v>2297</v>
          </cell>
        </row>
        <row r="5113">
          <cell r="A5113" t="str">
            <v>2298</v>
          </cell>
        </row>
        <row r="5114">
          <cell r="A5114" t="str">
            <v>2299</v>
          </cell>
        </row>
        <row r="5115">
          <cell r="A5115" t="str">
            <v>229A</v>
          </cell>
        </row>
        <row r="5116">
          <cell r="A5116" t="str">
            <v>229B</v>
          </cell>
        </row>
        <row r="5117">
          <cell r="A5117" t="str">
            <v>229C</v>
          </cell>
        </row>
        <row r="5118">
          <cell r="A5118" t="str">
            <v>229D</v>
          </cell>
        </row>
        <row r="5119">
          <cell r="A5119" t="str">
            <v>229E</v>
          </cell>
        </row>
        <row r="5120">
          <cell r="A5120" t="str">
            <v>229F</v>
          </cell>
        </row>
        <row r="5121">
          <cell r="A5121" t="str">
            <v>22A0</v>
          </cell>
        </row>
        <row r="5122">
          <cell r="A5122" t="str">
            <v>22A1</v>
          </cell>
        </row>
        <row r="5123">
          <cell r="A5123" t="str">
            <v>22A2</v>
          </cell>
        </row>
        <row r="5124">
          <cell r="A5124" t="str">
            <v>22A3</v>
          </cell>
        </row>
        <row r="5125">
          <cell r="A5125" t="str">
            <v>22A4</v>
          </cell>
        </row>
        <row r="5126">
          <cell r="A5126" t="str">
            <v>22A5</v>
          </cell>
        </row>
        <row r="5127">
          <cell r="A5127" t="str">
            <v>22A6</v>
          </cell>
        </row>
        <row r="5128">
          <cell r="A5128" t="str">
            <v>22A7</v>
          </cell>
        </row>
        <row r="5129">
          <cell r="A5129" t="str">
            <v>22A8</v>
          </cell>
        </row>
        <row r="5130">
          <cell r="A5130" t="str">
            <v>22A9</v>
          </cell>
        </row>
        <row r="5131">
          <cell r="A5131" t="str">
            <v>22AA</v>
          </cell>
        </row>
        <row r="5132">
          <cell r="A5132" t="str">
            <v>22AB</v>
          </cell>
        </row>
        <row r="5133">
          <cell r="A5133" t="str">
            <v>22AC</v>
          </cell>
        </row>
        <row r="5134">
          <cell r="A5134" t="str">
            <v>22AD</v>
          </cell>
        </row>
        <row r="5135">
          <cell r="A5135" t="str">
            <v>22AE</v>
          </cell>
        </row>
        <row r="5136">
          <cell r="A5136" t="str">
            <v>22AF</v>
          </cell>
        </row>
        <row r="5137">
          <cell r="A5137" t="str">
            <v>22B0</v>
          </cell>
        </row>
        <row r="5138">
          <cell r="A5138" t="str">
            <v>22B1</v>
          </cell>
        </row>
        <row r="5139">
          <cell r="A5139" t="str">
            <v>22B2</v>
          </cell>
        </row>
        <row r="5140">
          <cell r="A5140" t="str">
            <v>22B3</v>
          </cell>
        </row>
        <row r="5141">
          <cell r="A5141" t="str">
            <v>22B4</v>
          </cell>
        </row>
        <row r="5142">
          <cell r="A5142" t="str">
            <v>22B5</v>
          </cell>
        </row>
        <row r="5143">
          <cell r="A5143" t="str">
            <v>22B6</v>
          </cell>
        </row>
        <row r="5144">
          <cell r="A5144" t="str">
            <v>22B7</v>
          </cell>
        </row>
        <row r="5145">
          <cell r="A5145" t="str">
            <v>22B8</v>
          </cell>
        </row>
        <row r="5146">
          <cell r="A5146" t="str">
            <v>22B9</v>
          </cell>
        </row>
        <row r="5147">
          <cell r="A5147" t="str">
            <v>22BA</v>
          </cell>
        </row>
        <row r="5148">
          <cell r="A5148" t="str">
            <v>22BB</v>
          </cell>
        </row>
        <row r="5149">
          <cell r="A5149" t="str">
            <v>22BC</v>
          </cell>
        </row>
        <row r="5150">
          <cell r="A5150" t="str">
            <v>22BD</v>
          </cell>
        </row>
        <row r="5151">
          <cell r="A5151" t="str">
            <v>22BE</v>
          </cell>
        </row>
        <row r="5152">
          <cell r="A5152" t="str">
            <v>22BF</v>
          </cell>
        </row>
        <row r="5153">
          <cell r="A5153" t="str">
            <v>22C0</v>
          </cell>
        </row>
        <row r="5154">
          <cell r="A5154" t="str">
            <v>22C1</v>
          </cell>
        </row>
        <row r="5155">
          <cell r="A5155" t="str">
            <v>22C2</v>
          </cell>
        </row>
        <row r="5156">
          <cell r="A5156" t="str">
            <v>22C3</v>
          </cell>
        </row>
        <row r="5157">
          <cell r="A5157" t="str">
            <v>22C4</v>
          </cell>
        </row>
        <row r="5158">
          <cell r="A5158" t="str">
            <v>22C5</v>
          </cell>
        </row>
        <row r="5159">
          <cell r="A5159" t="str">
            <v>22C6</v>
          </cell>
        </row>
        <row r="5160">
          <cell r="A5160" t="str">
            <v>22C7</v>
          </cell>
        </row>
        <row r="5161">
          <cell r="A5161" t="str">
            <v>22C8</v>
          </cell>
        </row>
        <row r="5162">
          <cell r="A5162" t="str">
            <v>22C9</v>
          </cell>
        </row>
        <row r="5163">
          <cell r="A5163" t="str">
            <v>22CA</v>
          </cell>
        </row>
        <row r="5164">
          <cell r="A5164" t="str">
            <v>22CB</v>
          </cell>
        </row>
        <row r="5165">
          <cell r="A5165" t="str">
            <v>22CC</v>
          </cell>
        </row>
        <row r="5166">
          <cell r="A5166" t="str">
            <v>22CD</v>
          </cell>
        </row>
        <row r="5167">
          <cell r="A5167" t="str">
            <v>22CE</v>
          </cell>
        </row>
        <row r="5168">
          <cell r="A5168" t="str">
            <v>22CF</v>
          </cell>
        </row>
        <row r="5169">
          <cell r="A5169" t="str">
            <v>22D0</v>
          </cell>
        </row>
        <row r="5170">
          <cell r="A5170" t="str">
            <v>22D1</v>
          </cell>
        </row>
        <row r="5171">
          <cell r="A5171" t="str">
            <v>22D2</v>
          </cell>
        </row>
        <row r="5172">
          <cell r="A5172" t="str">
            <v>22D3</v>
          </cell>
        </row>
        <row r="5173">
          <cell r="A5173" t="str">
            <v>22D4</v>
          </cell>
        </row>
        <row r="5174">
          <cell r="A5174" t="str">
            <v>22D5</v>
          </cell>
        </row>
        <row r="5175">
          <cell r="A5175" t="str">
            <v>22D6</v>
          </cell>
        </row>
        <row r="5176">
          <cell r="A5176" t="str">
            <v>22D7</v>
          </cell>
        </row>
        <row r="5177">
          <cell r="A5177" t="str">
            <v>22D8</v>
          </cell>
        </row>
        <row r="5178">
          <cell r="A5178" t="str">
            <v>22D9</v>
          </cell>
        </row>
        <row r="5179">
          <cell r="A5179" t="str">
            <v>22DA</v>
          </cell>
        </row>
        <row r="5180">
          <cell r="A5180" t="str">
            <v>22DB</v>
          </cell>
        </row>
        <row r="5181">
          <cell r="A5181" t="str">
            <v>22DC</v>
          </cell>
        </row>
        <row r="5182">
          <cell r="A5182" t="str">
            <v>22DD</v>
          </cell>
        </row>
        <row r="5183">
          <cell r="A5183" t="str">
            <v>22DE</v>
          </cell>
        </row>
        <row r="5184">
          <cell r="A5184" t="str">
            <v>22DF</v>
          </cell>
        </row>
        <row r="5185">
          <cell r="A5185" t="str">
            <v>22E0</v>
          </cell>
        </row>
        <row r="5186">
          <cell r="A5186" t="str">
            <v>22E1</v>
          </cell>
        </row>
        <row r="5187">
          <cell r="A5187" t="str">
            <v>22E2</v>
          </cell>
        </row>
        <row r="5188">
          <cell r="A5188" t="str">
            <v>22E3</v>
          </cell>
        </row>
        <row r="5189">
          <cell r="A5189" t="str">
            <v>22E4</v>
          </cell>
        </row>
        <row r="5190">
          <cell r="A5190" t="str">
            <v>22E5</v>
          </cell>
        </row>
        <row r="5191">
          <cell r="A5191" t="str">
            <v>22E6</v>
          </cell>
        </row>
        <row r="5192">
          <cell r="A5192" t="str">
            <v>22E7</v>
          </cell>
        </row>
        <row r="5193">
          <cell r="A5193" t="str">
            <v>22E8</v>
          </cell>
        </row>
        <row r="5194">
          <cell r="A5194" t="str">
            <v>22E9</v>
          </cell>
        </row>
        <row r="5195">
          <cell r="A5195" t="str">
            <v>22EA</v>
          </cell>
        </row>
        <row r="5196">
          <cell r="A5196" t="str">
            <v>22EB</v>
          </cell>
        </row>
        <row r="5197">
          <cell r="A5197" t="str">
            <v>22EC</v>
          </cell>
        </row>
        <row r="5198">
          <cell r="A5198" t="str">
            <v>22ED</v>
          </cell>
        </row>
        <row r="5199">
          <cell r="A5199" t="str">
            <v>22EE</v>
          </cell>
        </row>
        <row r="5200">
          <cell r="A5200" t="str">
            <v>22EF</v>
          </cell>
        </row>
        <row r="5201">
          <cell r="A5201" t="str">
            <v>22F0</v>
          </cell>
        </row>
        <row r="5202">
          <cell r="A5202" t="str">
            <v>22F1</v>
          </cell>
        </row>
        <row r="5203">
          <cell r="A5203" t="str">
            <v>22F2</v>
          </cell>
        </row>
        <row r="5204">
          <cell r="A5204" t="str">
            <v>22F3</v>
          </cell>
        </row>
        <row r="5205">
          <cell r="A5205" t="str">
            <v>22F4</v>
          </cell>
        </row>
        <row r="5206">
          <cell r="A5206" t="str">
            <v>22F5</v>
          </cell>
        </row>
        <row r="5207">
          <cell r="A5207" t="str">
            <v>22F6</v>
          </cell>
        </row>
        <row r="5208">
          <cell r="A5208" t="str">
            <v>22F7</v>
          </cell>
        </row>
        <row r="5209">
          <cell r="A5209" t="str">
            <v>22F8</v>
          </cell>
        </row>
        <row r="5210">
          <cell r="A5210" t="str">
            <v>22F9</v>
          </cell>
        </row>
        <row r="5211">
          <cell r="A5211" t="str">
            <v>22FA</v>
          </cell>
        </row>
        <row r="5212">
          <cell r="A5212" t="str">
            <v>22FB</v>
          </cell>
        </row>
        <row r="5213">
          <cell r="A5213" t="str">
            <v>22FC</v>
          </cell>
        </row>
        <row r="5214">
          <cell r="A5214" t="str">
            <v>22FD</v>
          </cell>
        </row>
        <row r="5215">
          <cell r="A5215" t="str">
            <v>22FE</v>
          </cell>
        </row>
        <row r="5216">
          <cell r="A5216" t="str">
            <v>2300</v>
          </cell>
        </row>
        <row r="5217">
          <cell r="A5217" t="str">
            <v>2301</v>
          </cell>
        </row>
        <row r="5218">
          <cell r="A5218" t="str">
            <v>2302</v>
          </cell>
        </row>
        <row r="5219">
          <cell r="A5219" t="str">
            <v>2303</v>
          </cell>
        </row>
        <row r="5220">
          <cell r="A5220" t="str">
            <v>2304</v>
          </cell>
        </row>
        <row r="5221">
          <cell r="A5221" t="str">
            <v>2305</v>
          </cell>
        </row>
        <row r="5222">
          <cell r="A5222" t="str">
            <v>2306</v>
          </cell>
        </row>
        <row r="5223">
          <cell r="A5223" t="str">
            <v>2307</v>
          </cell>
        </row>
        <row r="5224">
          <cell r="A5224" t="str">
            <v>2308</v>
          </cell>
        </row>
        <row r="5225">
          <cell r="A5225" t="str">
            <v>2309</v>
          </cell>
        </row>
        <row r="5226">
          <cell r="A5226" t="str">
            <v>2310</v>
          </cell>
        </row>
        <row r="5227">
          <cell r="A5227" t="str">
            <v>2311</v>
          </cell>
        </row>
        <row r="5228">
          <cell r="A5228" t="str">
            <v>2312</v>
          </cell>
        </row>
        <row r="5229">
          <cell r="A5229" t="str">
            <v>2313</v>
          </cell>
        </row>
        <row r="5230">
          <cell r="A5230" t="str">
            <v>2314</v>
          </cell>
        </row>
        <row r="5231">
          <cell r="A5231" t="str">
            <v>2315</v>
          </cell>
        </row>
        <row r="5232">
          <cell r="A5232" t="str">
            <v>2316</v>
          </cell>
        </row>
        <row r="5233">
          <cell r="A5233" t="str">
            <v>2317</v>
          </cell>
        </row>
        <row r="5234">
          <cell r="A5234" t="str">
            <v>2318</v>
          </cell>
        </row>
        <row r="5235">
          <cell r="A5235" t="str">
            <v>2319</v>
          </cell>
        </row>
        <row r="5236">
          <cell r="A5236" t="str">
            <v>2320</v>
          </cell>
        </row>
        <row r="5237">
          <cell r="A5237" t="str">
            <v>2321</v>
          </cell>
        </row>
        <row r="5238">
          <cell r="A5238" t="str">
            <v>2322</v>
          </cell>
        </row>
        <row r="5239">
          <cell r="A5239" t="str">
            <v>2323</v>
          </cell>
        </row>
        <row r="5240">
          <cell r="A5240" t="str">
            <v>2324</v>
          </cell>
        </row>
        <row r="5241">
          <cell r="A5241" t="str">
            <v>2325</v>
          </cell>
        </row>
        <row r="5242">
          <cell r="A5242" t="str">
            <v>2326</v>
          </cell>
        </row>
        <row r="5243">
          <cell r="A5243" t="str">
            <v>2327</v>
          </cell>
        </row>
        <row r="5244">
          <cell r="A5244" t="str">
            <v>2328</v>
          </cell>
        </row>
        <row r="5245">
          <cell r="A5245" t="str">
            <v>2329</v>
          </cell>
        </row>
        <row r="5246">
          <cell r="A5246" t="str">
            <v>2330</v>
          </cell>
        </row>
        <row r="5247">
          <cell r="A5247" t="str">
            <v>2331</v>
          </cell>
        </row>
        <row r="5248">
          <cell r="A5248" t="str">
            <v>2332</v>
          </cell>
        </row>
        <row r="5249">
          <cell r="A5249" t="str">
            <v>2333</v>
          </cell>
        </row>
        <row r="5250">
          <cell r="A5250" t="str">
            <v>2334</v>
          </cell>
        </row>
        <row r="5251">
          <cell r="A5251" t="str">
            <v>2335</v>
          </cell>
        </row>
        <row r="5252">
          <cell r="A5252" t="str">
            <v>2336</v>
          </cell>
        </row>
        <row r="5253">
          <cell r="A5253" t="str">
            <v>2337</v>
          </cell>
        </row>
        <row r="5254">
          <cell r="A5254" t="str">
            <v>2338</v>
          </cell>
        </row>
        <row r="5255">
          <cell r="A5255" t="str">
            <v>2339</v>
          </cell>
        </row>
        <row r="5256">
          <cell r="A5256" t="str">
            <v>2340</v>
          </cell>
        </row>
        <row r="5257">
          <cell r="A5257" t="str">
            <v>2341</v>
          </cell>
        </row>
        <row r="5258">
          <cell r="A5258" t="str">
            <v>2342</v>
          </cell>
        </row>
        <row r="5259">
          <cell r="A5259" t="str">
            <v>2343</v>
          </cell>
        </row>
        <row r="5260">
          <cell r="A5260" t="str">
            <v>2344</v>
          </cell>
        </row>
        <row r="5261">
          <cell r="A5261" t="str">
            <v>2345</v>
          </cell>
        </row>
        <row r="5262">
          <cell r="A5262" t="str">
            <v>2346</v>
          </cell>
        </row>
        <row r="5263">
          <cell r="A5263" t="str">
            <v>2347</v>
          </cell>
        </row>
        <row r="5264">
          <cell r="A5264" t="str">
            <v>2348</v>
          </cell>
        </row>
        <row r="5265">
          <cell r="A5265" t="str">
            <v>2349</v>
          </cell>
        </row>
        <row r="5266">
          <cell r="A5266" t="str">
            <v>234A</v>
          </cell>
        </row>
        <row r="5267">
          <cell r="A5267" t="str">
            <v>234B</v>
          </cell>
        </row>
        <row r="5268">
          <cell r="A5268" t="str">
            <v>234C</v>
          </cell>
        </row>
        <row r="5269">
          <cell r="A5269" t="str">
            <v>234D</v>
          </cell>
        </row>
        <row r="5270">
          <cell r="A5270" t="str">
            <v>234E</v>
          </cell>
        </row>
        <row r="5271">
          <cell r="A5271" t="str">
            <v>234F</v>
          </cell>
        </row>
        <row r="5272">
          <cell r="A5272" t="str">
            <v>2350</v>
          </cell>
        </row>
        <row r="5273">
          <cell r="A5273" t="str">
            <v>2351</v>
          </cell>
        </row>
        <row r="5274">
          <cell r="A5274" t="str">
            <v>2352</v>
          </cell>
        </row>
        <row r="5275">
          <cell r="A5275" t="str">
            <v>2353</v>
          </cell>
        </row>
        <row r="5276">
          <cell r="A5276" t="str">
            <v>2354</v>
          </cell>
        </row>
        <row r="5277">
          <cell r="A5277" t="str">
            <v>2355</v>
          </cell>
        </row>
        <row r="5278">
          <cell r="A5278" t="str">
            <v>2356</v>
          </cell>
        </row>
        <row r="5279">
          <cell r="A5279" t="str">
            <v>2357</v>
          </cell>
        </row>
        <row r="5280">
          <cell r="A5280" t="str">
            <v>2358</v>
          </cell>
        </row>
        <row r="5281">
          <cell r="A5281" t="str">
            <v>2359</v>
          </cell>
        </row>
        <row r="5282">
          <cell r="A5282" t="str">
            <v>235A</v>
          </cell>
        </row>
        <row r="5283">
          <cell r="A5283" t="str">
            <v>235B</v>
          </cell>
        </row>
        <row r="5284">
          <cell r="A5284" t="str">
            <v>235C</v>
          </cell>
        </row>
        <row r="5285">
          <cell r="A5285" t="str">
            <v>235D</v>
          </cell>
        </row>
        <row r="5286">
          <cell r="A5286" t="str">
            <v>235E</v>
          </cell>
        </row>
        <row r="5287">
          <cell r="A5287" t="str">
            <v>235F</v>
          </cell>
        </row>
        <row r="5288">
          <cell r="A5288" t="str">
            <v>2360</v>
          </cell>
        </row>
        <row r="5289">
          <cell r="A5289" t="str">
            <v>2361</v>
          </cell>
        </row>
        <row r="5290">
          <cell r="A5290" t="str">
            <v>2362</v>
          </cell>
        </row>
        <row r="5291">
          <cell r="A5291" t="str">
            <v>2363</v>
          </cell>
        </row>
        <row r="5292">
          <cell r="A5292" t="str">
            <v>2364</v>
          </cell>
        </row>
        <row r="5293">
          <cell r="A5293" t="str">
            <v>2365</v>
          </cell>
        </row>
        <row r="5294">
          <cell r="A5294" t="str">
            <v>2366</v>
          </cell>
        </row>
        <row r="5295">
          <cell r="A5295" t="str">
            <v>2367</v>
          </cell>
        </row>
        <row r="5296">
          <cell r="A5296" t="str">
            <v>2368</v>
          </cell>
        </row>
        <row r="5297">
          <cell r="A5297" t="str">
            <v>2369</v>
          </cell>
        </row>
        <row r="5298">
          <cell r="A5298" t="str">
            <v>236A</v>
          </cell>
        </row>
        <row r="5299">
          <cell r="A5299" t="str">
            <v>236B</v>
          </cell>
        </row>
        <row r="5300">
          <cell r="A5300" t="str">
            <v>236C</v>
          </cell>
        </row>
        <row r="5301">
          <cell r="A5301" t="str">
            <v>236D</v>
          </cell>
        </row>
        <row r="5302">
          <cell r="A5302" t="str">
            <v>236E</v>
          </cell>
        </row>
        <row r="5303">
          <cell r="A5303" t="str">
            <v>236F</v>
          </cell>
        </row>
        <row r="5304">
          <cell r="A5304" t="str">
            <v>2400</v>
          </cell>
        </row>
        <row r="5305">
          <cell r="A5305" t="str">
            <v>2401</v>
          </cell>
        </row>
        <row r="5306">
          <cell r="A5306" t="str">
            <v>2402</v>
          </cell>
        </row>
        <row r="5307">
          <cell r="A5307" t="str">
            <v>2403</v>
          </cell>
        </row>
        <row r="5308">
          <cell r="A5308" t="str">
            <v>2404</v>
          </cell>
        </row>
        <row r="5309">
          <cell r="A5309" t="str">
            <v>2405</v>
          </cell>
        </row>
        <row r="5310">
          <cell r="A5310" t="str">
            <v>2406</v>
          </cell>
        </row>
        <row r="5311">
          <cell r="A5311" t="str">
            <v>2407</v>
          </cell>
        </row>
        <row r="5312">
          <cell r="A5312" t="str">
            <v>2408</v>
          </cell>
        </row>
        <row r="5313">
          <cell r="A5313" t="str">
            <v>2409</v>
          </cell>
        </row>
        <row r="5314">
          <cell r="A5314" t="str">
            <v>240A</v>
          </cell>
        </row>
        <row r="5315">
          <cell r="A5315" t="str">
            <v>240B</v>
          </cell>
        </row>
        <row r="5316">
          <cell r="A5316" t="str">
            <v>240C</v>
          </cell>
        </row>
        <row r="5317">
          <cell r="A5317" t="str">
            <v>240F</v>
          </cell>
        </row>
        <row r="5318">
          <cell r="A5318" t="str">
            <v>2410</v>
          </cell>
        </row>
        <row r="5319">
          <cell r="A5319" t="str">
            <v>2411</v>
          </cell>
        </row>
        <row r="5320">
          <cell r="A5320" t="str">
            <v>2412</v>
          </cell>
        </row>
        <row r="5321">
          <cell r="A5321" t="str">
            <v>2413</v>
          </cell>
        </row>
        <row r="5322">
          <cell r="A5322" t="str">
            <v>2414</v>
          </cell>
        </row>
        <row r="5323">
          <cell r="A5323" t="str">
            <v>2415</v>
          </cell>
        </row>
        <row r="5324">
          <cell r="A5324" t="str">
            <v>2416</v>
          </cell>
        </row>
        <row r="5325">
          <cell r="A5325" t="str">
            <v>2417</v>
          </cell>
        </row>
        <row r="5326">
          <cell r="A5326" t="str">
            <v>2418</v>
          </cell>
        </row>
        <row r="5327">
          <cell r="A5327" t="str">
            <v>2419</v>
          </cell>
        </row>
        <row r="5328">
          <cell r="A5328" t="str">
            <v>241A</v>
          </cell>
        </row>
        <row r="5329">
          <cell r="A5329" t="str">
            <v>241B</v>
          </cell>
        </row>
        <row r="5330">
          <cell r="A5330" t="str">
            <v>241F</v>
          </cell>
        </row>
        <row r="5331">
          <cell r="A5331" t="str">
            <v>2420</v>
          </cell>
        </row>
        <row r="5332">
          <cell r="A5332" t="str">
            <v>2421</v>
          </cell>
        </row>
        <row r="5333">
          <cell r="A5333" t="str">
            <v>2422</v>
          </cell>
        </row>
        <row r="5334">
          <cell r="A5334" t="str">
            <v>2423</v>
          </cell>
        </row>
        <row r="5335">
          <cell r="A5335" t="str">
            <v>2424</v>
          </cell>
        </row>
        <row r="5336">
          <cell r="A5336" t="str">
            <v>2425</v>
          </cell>
        </row>
        <row r="5337">
          <cell r="A5337" t="str">
            <v>2426</v>
          </cell>
        </row>
        <row r="5338">
          <cell r="A5338" t="str">
            <v>2427</v>
          </cell>
        </row>
        <row r="5339">
          <cell r="A5339" t="str">
            <v>2428</v>
          </cell>
        </row>
        <row r="5340">
          <cell r="A5340" t="str">
            <v>2429</v>
          </cell>
        </row>
        <row r="5341">
          <cell r="A5341" t="str">
            <v>242A</v>
          </cell>
        </row>
        <row r="5342">
          <cell r="A5342" t="str">
            <v>242B</v>
          </cell>
        </row>
        <row r="5343">
          <cell r="A5343" t="str">
            <v>242C</v>
          </cell>
        </row>
        <row r="5344">
          <cell r="A5344" t="str">
            <v>242D</v>
          </cell>
        </row>
        <row r="5345">
          <cell r="A5345" t="str">
            <v>242E</v>
          </cell>
        </row>
        <row r="5346">
          <cell r="A5346" t="str">
            <v>242F</v>
          </cell>
        </row>
        <row r="5347">
          <cell r="A5347" t="str">
            <v>2430</v>
          </cell>
        </row>
        <row r="5348">
          <cell r="A5348" t="str">
            <v>2431</v>
          </cell>
        </row>
        <row r="5349">
          <cell r="A5349" t="str">
            <v>2432</v>
          </cell>
        </row>
        <row r="5350">
          <cell r="A5350" t="str">
            <v>2433</v>
          </cell>
        </row>
        <row r="5351">
          <cell r="A5351" t="str">
            <v>2434</v>
          </cell>
        </row>
        <row r="5352">
          <cell r="A5352" t="str">
            <v>2435</v>
          </cell>
        </row>
        <row r="5353">
          <cell r="A5353" t="str">
            <v>2436</v>
          </cell>
        </row>
        <row r="5354">
          <cell r="A5354" t="str">
            <v>2437</v>
          </cell>
        </row>
        <row r="5355">
          <cell r="A5355" t="str">
            <v>2438</v>
          </cell>
        </row>
        <row r="5356">
          <cell r="A5356" t="str">
            <v>2439</v>
          </cell>
        </row>
        <row r="5357">
          <cell r="A5357" t="str">
            <v>243A</v>
          </cell>
        </row>
        <row r="5358">
          <cell r="A5358" t="str">
            <v>243B</v>
          </cell>
        </row>
        <row r="5359">
          <cell r="A5359" t="str">
            <v>243C</v>
          </cell>
        </row>
        <row r="5360">
          <cell r="A5360" t="str">
            <v>243D</v>
          </cell>
        </row>
        <row r="5361">
          <cell r="A5361" t="str">
            <v>243E</v>
          </cell>
        </row>
        <row r="5362">
          <cell r="A5362" t="str">
            <v>243F</v>
          </cell>
        </row>
        <row r="5363">
          <cell r="A5363" t="str">
            <v>2440</v>
          </cell>
        </row>
        <row r="5364">
          <cell r="A5364" t="str">
            <v>2441</v>
          </cell>
        </row>
        <row r="5365">
          <cell r="A5365" t="str">
            <v>2442</v>
          </cell>
        </row>
        <row r="5366">
          <cell r="A5366" t="str">
            <v>2443</v>
          </cell>
        </row>
        <row r="5367">
          <cell r="A5367" t="str">
            <v>2444</v>
          </cell>
        </row>
        <row r="5368">
          <cell r="A5368" t="str">
            <v>2445</v>
          </cell>
        </row>
        <row r="5369">
          <cell r="A5369" t="str">
            <v>2446</v>
          </cell>
        </row>
        <row r="5370">
          <cell r="A5370" t="str">
            <v>2447</v>
          </cell>
        </row>
        <row r="5371">
          <cell r="A5371" t="str">
            <v>2448</v>
          </cell>
        </row>
        <row r="5372">
          <cell r="A5372" t="str">
            <v>2449</v>
          </cell>
        </row>
        <row r="5373">
          <cell r="A5373" t="str">
            <v>244A</v>
          </cell>
        </row>
        <row r="5374">
          <cell r="A5374" t="str">
            <v>244B</v>
          </cell>
        </row>
        <row r="5375">
          <cell r="A5375" t="str">
            <v>244C</v>
          </cell>
        </row>
        <row r="5376">
          <cell r="A5376" t="str">
            <v>244D</v>
          </cell>
        </row>
        <row r="5377">
          <cell r="A5377" t="str">
            <v>244E</v>
          </cell>
        </row>
        <row r="5378">
          <cell r="A5378" t="str">
            <v>244F</v>
          </cell>
        </row>
        <row r="5379">
          <cell r="A5379" t="str">
            <v>2450</v>
          </cell>
        </row>
        <row r="5380">
          <cell r="A5380" t="str">
            <v>2451</v>
          </cell>
        </row>
        <row r="5381">
          <cell r="A5381" t="str">
            <v>2452</v>
          </cell>
        </row>
        <row r="5382">
          <cell r="A5382" t="str">
            <v>2453</v>
          </cell>
        </row>
        <row r="5383">
          <cell r="A5383" t="str">
            <v>2454</v>
          </cell>
        </row>
        <row r="5384">
          <cell r="A5384" t="str">
            <v>2455</v>
          </cell>
        </row>
        <row r="5385">
          <cell r="A5385" t="str">
            <v>2456</v>
          </cell>
        </row>
        <row r="5386">
          <cell r="A5386" t="str">
            <v>2457</v>
          </cell>
        </row>
        <row r="5387">
          <cell r="A5387" t="str">
            <v>2458</v>
          </cell>
        </row>
        <row r="5388">
          <cell r="A5388" t="str">
            <v>2459</v>
          </cell>
        </row>
        <row r="5389">
          <cell r="A5389" t="str">
            <v>245A</v>
          </cell>
        </row>
        <row r="5390">
          <cell r="A5390" t="str">
            <v>245B</v>
          </cell>
        </row>
        <row r="5391">
          <cell r="A5391" t="str">
            <v>245C</v>
          </cell>
        </row>
        <row r="5392">
          <cell r="A5392" t="str">
            <v>245D</v>
          </cell>
        </row>
        <row r="5393">
          <cell r="A5393" t="str">
            <v>245E</v>
          </cell>
        </row>
        <row r="5394">
          <cell r="A5394" t="str">
            <v>245F</v>
          </cell>
        </row>
        <row r="5395">
          <cell r="A5395" t="str">
            <v>2460</v>
          </cell>
        </row>
        <row r="5396">
          <cell r="A5396" t="str">
            <v>2461</v>
          </cell>
        </row>
        <row r="5397">
          <cell r="A5397" t="str">
            <v>2462</v>
          </cell>
        </row>
        <row r="5398">
          <cell r="A5398" t="str">
            <v>2463</v>
          </cell>
        </row>
        <row r="5399">
          <cell r="A5399" t="str">
            <v>2464</v>
          </cell>
        </row>
        <row r="5400">
          <cell r="A5400" t="str">
            <v>2465</v>
          </cell>
        </row>
        <row r="5401">
          <cell r="A5401" t="str">
            <v>2466</v>
          </cell>
        </row>
        <row r="5402">
          <cell r="A5402" t="str">
            <v>2467</v>
          </cell>
        </row>
        <row r="5403">
          <cell r="A5403" t="str">
            <v>2468</v>
          </cell>
        </row>
        <row r="5404">
          <cell r="A5404" t="str">
            <v>2469</v>
          </cell>
        </row>
        <row r="5405">
          <cell r="A5405" t="str">
            <v>246A</v>
          </cell>
        </row>
        <row r="5406">
          <cell r="A5406" t="str">
            <v>246B</v>
          </cell>
        </row>
        <row r="5407">
          <cell r="A5407" t="str">
            <v>246C</v>
          </cell>
        </row>
        <row r="5408">
          <cell r="A5408" t="str">
            <v>246D</v>
          </cell>
        </row>
        <row r="5409">
          <cell r="A5409" t="str">
            <v>246E</v>
          </cell>
        </row>
        <row r="5410">
          <cell r="A5410" t="str">
            <v>246F</v>
          </cell>
        </row>
        <row r="5411">
          <cell r="A5411" t="str">
            <v>2470</v>
          </cell>
        </row>
        <row r="5412">
          <cell r="A5412" t="str">
            <v>2471</v>
          </cell>
        </row>
        <row r="5413">
          <cell r="A5413" t="str">
            <v>2472</v>
          </cell>
        </row>
        <row r="5414">
          <cell r="A5414" t="str">
            <v>2473</v>
          </cell>
        </row>
        <row r="5415">
          <cell r="A5415" t="str">
            <v>2474</v>
          </cell>
        </row>
        <row r="5416">
          <cell r="A5416" t="str">
            <v>2475</v>
          </cell>
        </row>
        <row r="5417">
          <cell r="A5417" t="str">
            <v>2476</v>
          </cell>
        </row>
        <row r="5418">
          <cell r="A5418" t="str">
            <v>2477</v>
          </cell>
        </row>
        <row r="5419">
          <cell r="A5419" t="str">
            <v>2478</v>
          </cell>
        </row>
        <row r="5420">
          <cell r="A5420" t="str">
            <v>2479</v>
          </cell>
        </row>
        <row r="5421">
          <cell r="A5421" t="str">
            <v>247A</v>
          </cell>
        </row>
        <row r="5422">
          <cell r="A5422" t="str">
            <v>247B</v>
          </cell>
        </row>
        <row r="5423">
          <cell r="A5423" t="str">
            <v>247C</v>
          </cell>
        </row>
        <row r="5424">
          <cell r="A5424" t="str">
            <v>247D</v>
          </cell>
        </row>
        <row r="5425">
          <cell r="A5425" t="str">
            <v>247E</v>
          </cell>
        </row>
        <row r="5426">
          <cell r="A5426" t="str">
            <v>247F</v>
          </cell>
        </row>
        <row r="5427">
          <cell r="A5427" t="str">
            <v>2480</v>
          </cell>
        </row>
        <row r="5428">
          <cell r="A5428" t="str">
            <v>2481</v>
          </cell>
        </row>
        <row r="5429">
          <cell r="A5429" t="str">
            <v>2482</v>
          </cell>
        </row>
        <row r="5430">
          <cell r="A5430" t="str">
            <v>2483</v>
          </cell>
        </row>
        <row r="5431">
          <cell r="A5431" t="str">
            <v>2484</v>
          </cell>
        </row>
        <row r="5432">
          <cell r="A5432" t="str">
            <v>2485</v>
          </cell>
        </row>
        <row r="5433">
          <cell r="A5433" t="str">
            <v>2486</v>
          </cell>
        </row>
        <row r="5434">
          <cell r="A5434" t="str">
            <v>2487</v>
          </cell>
        </row>
        <row r="5435">
          <cell r="A5435" t="str">
            <v>2488</v>
          </cell>
        </row>
        <row r="5436">
          <cell r="A5436" t="str">
            <v>2489</v>
          </cell>
        </row>
        <row r="5437">
          <cell r="A5437" t="str">
            <v>248A</v>
          </cell>
        </row>
        <row r="5438">
          <cell r="A5438" t="str">
            <v>248B</v>
          </cell>
        </row>
        <row r="5439">
          <cell r="A5439" t="str">
            <v>248C</v>
          </cell>
        </row>
        <row r="5440">
          <cell r="A5440" t="str">
            <v>248D</v>
          </cell>
        </row>
        <row r="5441">
          <cell r="A5441" t="str">
            <v>248E</v>
          </cell>
        </row>
        <row r="5442">
          <cell r="A5442" t="str">
            <v>248F</v>
          </cell>
        </row>
        <row r="5443">
          <cell r="A5443" t="str">
            <v>2490</v>
          </cell>
        </row>
        <row r="5444">
          <cell r="A5444" t="str">
            <v>2491</v>
          </cell>
        </row>
        <row r="5445">
          <cell r="A5445" t="str">
            <v>2492</v>
          </cell>
        </row>
        <row r="5446">
          <cell r="A5446" t="str">
            <v>2493</v>
          </cell>
        </row>
        <row r="5447">
          <cell r="A5447" t="str">
            <v>2494</v>
          </cell>
        </row>
        <row r="5448">
          <cell r="A5448" t="str">
            <v>2495</v>
          </cell>
        </row>
        <row r="5449">
          <cell r="A5449" t="str">
            <v>2496</v>
          </cell>
        </row>
        <row r="5450">
          <cell r="A5450" t="str">
            <v>2497</v>
          </cell>
        </row>
        <row r="5451">
          <cell r="A5451" t="str">
            <v>2498</v>
          </cell>
        </row>
        <row r="5452">
          <cell r="A5452" t="str">
            <v>2499</v>
          </cell>
        </row>
        <row r="5453">
          <cell r="A5453" t="str">
            <v>249A</v>
          </cell>
        </row>
        <row r="5454">
          <cell r="A5454" t="str">
            <v>249B</v>
          </cell>
        </row>
        <row r="5455">
          <cell r="A5455" t="str">
            <v>249C</v>
          </cell>
        </row>
        <row r="5456">
          <cell r="A5456" t="str">
            <v>249D</v>
          </cell>
        </row>
        <row r="5457">
          <cell r="A5457" t="str">
            <v>249E</v>
          </cell>
        </row>
        <row r="5458">
          <cell r="A5458" t="str">
            <v>249F</v>
          </cell>
        </row>
        <row r="5459">
          <cell r="A5459" t="str">
            <v>24A0</v>
          </cell>
        </row>
        <row r="5460">
          <cell r="A5460" t="str">
            <v>24A1</v>
          </cell>
        </row>
        <row r="5461">
          <cell r="A5461" t="str">
            <v>24A2</v>
          </cell>
        </row>
        <row r="5462">
          <cell r="A5462" t="str">
            <v>24A3</v>
          </cell>
        </row>
        <row r="5463">
          <cell r="A5463" t="str">
            <v>24A4</v>
          </cell>
        </row>
        <row r="5464">
          <cell r="A5464" t="str">
            <v>24A5</v>
          </cell>
        </row>
        <row r="5465">
          <cell r="A5465" t="str">
            <v>24A6</v>
          </cell>
        </row>
        <row r="5466">
          <cell r="A5466" t="str">
            <v>24A7</v>
          </cell>
        </row>
        <row r="5467">
          <cell r="A5467" t="str">
            <v>24A8</v>
          </cell>
        </row>
        <row r="5468">
          <cell r="A5468" t="str">
            <v>24A9</v>
          </cell>
        </row>
        <row r="5469">
          <cell r="A5469" t="str">
            <v>24AA</v>
          </cell>
        </row>
        <row r="5470">
          <cell r="A5470" t="str">
            <v>24AB</v>
          </cell>
        </row>
        <row r="5471">
          <cell r="A5471" t="str">
            <v>24AC</v>
          </cell>
        </row>
        <row r="5472">
          <cell r="A5472" t="str">
            <v>24AD</v>
          </cell>
        </row>
        <row r="5473">
          <cell r="A5473" t="str">
            <v>24AE</v>
          </cell>
        </row>
        <row r="5474">
          <cell r="A5474" t="str">
            <v>24AF</v>
          </cell>
        </row>
        <row r="5475">
          <cell r="A5475" t="str">
            <v>24B0</v>
          </cell>
        </row>
        <row r="5476">
          <cell r="A5476" t="str">
            <v>24B1</v>
          </cell>
        </row>
        <row r="5477">
          <cell r="A5477" t="str">
            <v>24B2</v>
          </cell>
        </row>
        <row r="5478">
          <cell r="A5478" t="str">
            <v>24B3</v>
          </cell>
        </row>
        <row r="5479">
          <cell r="A5479" t="str">
            <v>24B4</v>
          </cell>
        </row>
        <row r="5480">
          <cell r="A5480" t="str">
            <v>24B5</v>
          </cell>
        </row>
        <row r="5481">
          <cell r="A5481" t="str">
            <v>24B6</v>
          </cell>
        </row>
        <row r="5482">
          <cell r="A5482" t="str">
            <v>24B7</v>
          </cell>
        </row>
        <row r="5483">
          <cell r="A5483" t="str">
            <v>24B8</v>
          </cell>
        </row>
        <row r="5484">
          <cell r="A5484" t="str">
            <v>24B9</v>
          </cell>
        </row>
        <row r="5485">
          <cell r="A5485" t="str">
            <v>24BA</v>
          </cell>
        </row>
        <row r="5486">
          <cell r="A5486" t="str">
            <v>24BB</v>
          </cell>
        </row>
        <row r="5487">
          <cell r="A5487" t="str">
            <v>24BC</v>
          </cell>
        </row>
        <row r="5488">
          <cell r="A5488" t="str">
            <v>24BD</v>
          </cell>
        </row>
        <row r="5489">
          <cell r="A5489" t="str">
            <v>24BE</v>
          </cell>
        </row>
        <row r="5490">
          <cell r="A5490" t="str">
            <v>24BF</v>
          </cell>
        </row>
        <row r="5491">
          <cell r="A5491" t="str">
            <v>24C0</v>
          </cell>
        </row>
        <row r="5492">
          <cell r="A5492" t="str">
            <v>24C1</v>
          </cell>
        </row>
        <row r="5493">
          <cell r="A5493" t="str">
            <v>24C2</v>
          </cell>
        </row>
        <row r="5494">
          <cell r="A5494" t="str">
            <v>24C3</v>
          </cell>
        </row>
        <row r="5495">
          <cell r="A5495" t="str">
            <v>24C4</v>
          </cell>
        </row>
        <row r="5496">
          <cell r="A5496" t="str">
            <v>24C5</v>
          </cell>
        </row>
        <row r="5497">
          <cell r="A5497" t="str">
            <v>24C6</v>
          </cell>
        </row>
        <row r="5498">
          <cell r="A5498" t="str">
            <v>24C7</v>
          </cell>
        </row>
        <row r="5499">
          <cell r="A5499" t="str">
            <v>24C8</v>
          </cell>
        </row>
        <row r="5500">
          <cell r="A5500" t="str">
            <v>24C9</v>
          </cell>
        </row>
        <row r="5501">
          <cell r="A5501" t="str">
            <v>24CA</v>
          </cell>
        </row>
        <row r="5502">
          <cell r="A5502" t="str">
            <v>24CB</v>
          </cell>
        </row>
        <row r="5503">
          <cell r="A5503" t="str">
            <v>24CC</v>
          </cell>
        </row>
        <row r="5504">
          <cell r="A5504" t="str">
            <v>24CD</v>
          </cell>
        </row>
        <row r="5505">
          <cell r="A5505" t="str">
            <v>24CE</v>
          </cell>
        </row>
        <row r="5506">
          <cell r="A5506" t="str">
            <v>24CF</v>
          </cell>
        </row>
        <row r="5507">
          <cell r="A5507" t="str">
            <v>24D0</v>
          </cell>
        </row>
        <row r="5508">
          <cell r="A5508" t="str">
            <v>24D1</v>
          </cell>
        </row>
        <row r="5509">
          <cell r="A5509" t="str">
            <v>24D2</v>
          </cell>
        </row>
        <row r="5510">
          <cell r="A5510" t="str">
            <v>24D3</v>
          </cell>
        </row>
        <row r="5511">
          <cell r="A5511" t="str">
            <v>24D4</v>
          </cell>
        </row>
        <row r="5512">
          <cell r="A5512" t="str">
            <v>24D5</v>
          </cell>
        </row>
        <row r="5513">
          <cell r="A5513" t="str">
            <v>24D6</v>
          </cell>
        </row>
        <row r="5514">
          <cell r="A5514" t="str">
            <v>24D7</v>
          </cell>
        </row>
        <row r="5515">
          <cell r="A5515" t="str">
            <v>24D8</v>
          </cell>
        </row>
        <row r="5516">
          <cell r="A5516" t="str">
            <v>24D9</v>
          </cell>
        </row>
        <row r="5517">
          <cell r="A5517" t="str">
            <v>24DA</v>
          </cell>
        </row>
        <row r="5518">
          <cell r="A5518" t="str">
            <v>2500</v>
          </cell>
        </row>
        <row r="5519">
          <cell r="A5519" t="str">
            <v>2501</v>
          </cell>
        </row>
        <row r="5520">
          <cell r="A5520" t="str">
            <v>2502</v>
          </cell>
        </row>
        <row r="5521">
          <cell r="A5521" t="str">
            <v>2503</v>
          </cell>
        </row>
        <row r="5522">
          <cell r="A5522" t="str">
            <v>2504</v>
          </cell>
        </row>
        <row r="5523">
          <cell r="A5523" t="str">
            <v>2505</v>
          </cell>
        </row>
        <row r="5524">
          <cell r="A5524" t="str">
            <v>2506</v>
          </cell>
        </row>
        <row r="5525">
          <cell r="A5525" t="str">
            <v>2507</v>
          </cell>
        </row>
        <row r="5526">
          <cell r="A5526" t="str">
            <v>2508</v>
          </cell>
        </row>
        <row r="5527">
          <cell r="A5527" t="str">
            <v>2509</v>
          </cell>
        </row>
        <row r="5528">
          <cell r="A5528" t="str">
            <v>250A</v>
          </cell>
        </row>
        <row r="5529">
          <cell r="A5529" t="str">
            <v>250B</v>
          </cell>
        </row>
        <row r="5530">
          <cell r="A5530" t="str">
            <v>250C</v>
          </cell>
        </row>
        <row r="5531">
          <cell r="A5531" t="str">
            <v>250D</v>
          </cell>
        </row>
        <row r="5532">
          <cell r="A5532" t="str">
            <v>250E</v>
          </cell>
        </row>
        <row r="5533">
          <cell r="A5533" t="str">
            <v>250F</v>
          </cell>
        </row>
        <row r="5534">
          <cell r="A5534" t="str">
            <v>2510</v>
          </cell>
        </row>
        <row r="5535">
          <cell r="A5535" t="str">
            <v>2511</v>
          </cell>
        </row>
        <row r="5536">
          <cell r="A5536" t="str">
            <v>2512</v>
          </cell>
        </row>
        <row r="5537">
          <cell r="A5537" t="str">
            <v>2513</v>
          </cell>
        </row>
        <row r="5538">
          <cell r="A5538" t="str">
            <v>2514</v>
          </cell>
        </row>
        <row r="5539">
          <cell r="A5539" t="str">
            <v>2515</v>
          </cell>
        </row>
        <row r="5540">
          <cell r="A5540" t="str">
            <v>2516</v>
          </cell>
        </row>
        <row r="5541">
          <cell r="A5541" t="str">
            <v>2517</v>
          </cell>
        </row>
        <row r="5542">
          <cell r="A5542" t="str">
            <v>2518</v>
          </cell>
        </row>
        <row r="5543">
          <cell r="A5543" t="str">
            <v>2519</v>
          </cell>
        </row>
        <row r="5544">
          <cell r="A5544" t="str">
            <v>251A</v>
          </cell>
        </row>
        <row r="5545">
          <cell r="A5545" t="str">
            <v>251B</v>
          </cell>
        </row>
        <row r="5546">
          <cell r="A5546" t="str">
            <v>251C</v>
          </cell>
        </row>
        <row r="5547">
          <cell r="A5547" t="str">
            <v>251D</v>
          </cell>
        </row>
        <row r="5548">
          <cell r="A5548" t="str">
            <v>251E</v>
          </cell>
        </row>
        <row r="5549">
          <cell r="A5549" t="str">
            <v>251F</v>
          </cell>
        </row>
        <row r="5550">
          <cell r="A5550" t="str">
            <v>2520</v>
          </cell>
        </row>
        <row r="5551">
          <cell r="A5551" t="str">
            <v>2521</v>
          </cell>
        </row>
        <row r="5552">
          <cell r="A5552" t="str">
            <v>2522</v>
          </cell>
        </row>
        <row r="5553">
          <cell r="A5553" t="str">
            <v>2523</v>
          </cell>
        </row>
        <row r="5554">
          <cell r="A5554" t="str">
            <v>2524</v>
          </cell>
        </row>
        <row r="5555">
          <cell r="A5555" t="str">
            <v>2525</v>
          </cell>
        </row>
        <row r="5556">
          <cell r="A5556" t="str">
            <v>2526</v>
          </cell>
        </row>
        <row r="5557">
          <cell r="A5557" t="str">
            <v>2527</v>
          </cell>
        </row>
        <row r="5558">
          <cell r="A5558" t="str">
            <v>2528</v>
          </cell>
        </row>
        <row r="5559">
          <cell r="A5559" t="str">
            <v>2529</v>
          </cell>
        </row>
        <row r="5560">
          <cell r="A5560" t="str">
            <v>252A</v>
          </cell>
        </row>
        <row r="5561">
          <cell r="A5561" t="str">
            <v>252B</v>
          </cell>
        </row>
        <row r="5562">
          <cell r="A5562" t="str">
            <v>252C</v>
          </cell>
        </row>
        <row r="5563">
          <cell r="A5563" t="str">
            <v>252D</v>
          </cell>
        </row>
        <row r="5564">
          <cell r="A5564" t="str">
            <v>252E</v>
          </cell>
        </row>
        <row r="5565">
          <cell r="A5565" t="str">
            <v>252F</v>
          </cell>
        </row>
        <row r="5566">
          <cell r="A5566" t="str">
            <v>2530</v>
          </cell>
        </row>
        <row r="5567">
          <cell r="A5567" t="str">
            <v>2531</v>
          </cell>
        </row>
        <row r="5568">
          <cell r="A5568" t="str">
            <v>2532</v>
          </cell>
        </row>
        <row r="5569">
          <cell r="A5569" t="str">
            <v>2533</v>
          </cell>
        </row>
        <row r="5570">
          <cell r="A5570" t="str">
            <v>2534</v>
          </cell>
        </row>
        <row r="5571">
          <cell r="A5571" t="str">
            <v>2535</v>
          </cell>
        </row>
        <row r="5572">
          <cell r="A5572" t="str">
            <v>2536</v>
          </cell>
        </row>
        <row r="5573">
          <cell r="A5573" t="str">
            <v>2537</v>
          </cell>
        </row>
        <row r="5574">
          <cell r="A5574" t="str">
            <v>2538</v>
          </cell>
        </row>
        <row r="5575">
          <cell r="A5575" t="str">
            <v>2539</v>
          </cell>
        </row>
        <row r="5576">
          <cell r="A5576" t="str">
            <v>253A</v>
          </cell>
        </row>
        <row r="5577">
          <cell r="A5577" t="str">
            <v>253B</v>
          </cell>
        </row>
        <row r="5578">
          <cell r="A5578" t="str">
            <v>253C</v>
          </cell>
        </row>
        <row r="5579">
          <cell r="A5579" t="str">
            <v>253D</v>
          </cell>
        </row>
        <row r="5580">
          <cell r="A5580" t="str">
            <v>253E</v>
          </cell>
        </row>
        <row r="5581">
          <cell r="A5581" t="str">
            <v>253F</v>
          </cell>
        </row>
        <row r="5582">
          <cell r="A5582" t="str">
            <v>2540</v>
          </cell>
        </row>
        <row r="5583">
          <cell r="A5583" t="str">
            <v>2541</v>
          </cell>
        </row>
        <row r="5584">
          <cell r="A5584" t="str">
            <v>2542</v>
          </cell>
        </row>
        <row r="5585">
          <cell r="A5585" t="str">
            <v>2543</v>
          </cell>
        </row>
        <row r="5586">
          <cell r="A5586" t="str">
            <v>2544</v>
          </cell>
        </row>
        <row r="5587">
          <cell r="A5587" t="str">
            <v>2545</v>
          </cell>
        </row>
        <row r="5588">
          <cell r="A5588" t="str">
            <v>2546</v>
          </cell>
        </row>
        <row r="5589">
          <cell r="A5589" t="str">
            <v>2547</v>
          </cell>
        </row>
        <row r="5590">
          <cell r="A5590" t="str">
            <v>2548</v>
          </cell>
        </row>
        <row r="5591">
          <cell r="A5591" t="str">
            <v>2549</v>
          </cell>
        </row>
        <row r="5592">
          <cell r="A5592" t="str">
            <v>254A</v>
          </cell>
        </row>
        <row r="5593">
          <cell r="A5593" t="str">
            <v>254B</v>
          </cell>
        </row>
        <row r="5594">
          <cell r="A5594" t="str">
            <v>254C</v>
          </cell>
        </row>
        <row r="5595">
          <cell r="A5595" t="str">
            <v>254D</v>
          </cell>
        </row>
        <row r="5596">
          <cell r="A5596" t="str">
            <v>254E</v>
          </cell>
        </row>
        <row r="5597">
          <cell r="A5597" t="str">
            <v>254F</v>
          </cell>
        </row>
        <row r="5598">
          <cell r="A5598" t="str">
            <v>2550</v>
          </cell>
        </row>
        <row r="5599">
          <cell r="A5599" t="str">
            <v>2551</v>
          </cell>
        </row>
        <row r="5600">
          <cell r="A5600" t="str">
            <v>2552</v>
          </cell>
        </row>
        <row r="5601">
          <cell r="A5601" t="str">
            <v>2553</v>
          </cell>
        </row>
        <row r="5602">
          <cell r="A5602" t="str">
            <v>2554</v>
          </cell>
        </row>
        <row r="5603">
          <cell r="A5603" t="str">
            <v>2555</v>
          </cell>
        </row>
        <row r="5604">
          <cell r="A5604" t="str">
            <v>2556</v>
          </cell>
        </row>
        <row r="5605">
          <cell r="A5605" t="str">
            <v>2557</v>
          </cell>
        </row>
        <row r="5606">
          <cell r="A5606" t="str">
            <v>2558</v>
          </cell>
        </row>
        <row r="5607">
          <cell r="A5607" t="str">
            <v>2559</v>
          </cell>
        </row>
        <row r="5608">
          <cell r="A5608" t="str">
            <v>255A</v>
          </cell>
        </row>
        <row r="5609">
          <cell r="A5609" t="str">
            <v>255B</v>
          </cell>
        </row>
        <row r="5610">
          <cell r="A5610" t="str">
            <v>255C</v>
          </cell>
        </row>
        <row r="5611">
          <cell r="A5611" t="str">
            <v>255D</v>
          </cell>
        </row>
        <row r="5612">
          <cell r="A5612" t="str">
            <v>255E</v>
          </cell>
        </row>
        <row r="5613">
          <cell r="A5613" t="str">
            <v>255F</v>
          </cell>
        </row>
        <row r="5614">
          <cell r="A5614" t="str">
            <v>2560</v>
          </cell>
        </row>
        <row r="5615">
          <cell r="A5615" t="str">
            <v>2561</v>
          </cell>
        </row>
        <row r="5616">
          <cell r="A5616" t="str">
            <v>2562</v>
          </cell>
        </row>
        <row r="5617">
          <cell r="A5617" t="str">
            <v>2563</v>
          </cell>
        </row>
        <row r="5618">
          <cell r="A5618" t="str">
            <v>2564</v>
          </cell>
        </row>
        <row r="5619">
          <cell r="A5619" t="str">
            <v>2565</v>
          </cell>
        </row>
        <row r="5620">
          <cell r="A5620" t="str">
            <v>2566</v>
          </cell>
        </row>
        <row r="5621">
          <cell r="A5621" t="str">
            <v>2567</v>
          </cell>
        </row>
        <row r="5622">
          <cell r="A5622" t="str">
            <v>2568</v>
          </cell>
        </row>
        <row r="5623">
          <cell r="A5623" t="str">
            <v>2569</v>
          </cell>
        </row>
        <row r="5624">
          <cell r="A5624" t="str">
            <v>256A</v>
          </cell>
        </row>
        <row r="5625">
          <cell r="A5625" t="str">
            <v>256B</v>
          </cell>
        </row>
        <row r="5626">
          <cell r="A5626" t="str">
            <v>256C</v>
          </cell>
        </row>
        <row r="5627">
          <cell r="A5627" t="str">
            <v>256D</v>
          </cell>
        </row>
        <row r="5628">
          <cell r="A5628" t="str">
            <v>256E</v>
          </cell>
        </row>
        <row r="5629">
          <cell r="A5629" t="str">
            <v>256F</v>
          </cell>
        </row>
        <row r="5630">
          <cell r="A5630" t="str">
            <v>2570</v>
          </cell>
        </row>
        <row r="5631">
          <cell r="A5631" t="str">
            <v>2571</v>
          </cell>
        </row>
        <row r="5632">
          <cell r="A5632" t="str">
            <v>2572</v>
          </cell>
        </row>
        <row r="5633">
          <cell r="A5633" t="str">
            <v>2573</v>
          </cell>
        </row>
        <row r="5634">
          <cell r="A5634" t="str">
            <v>2574</v>
          </cell>
        </row>
        <row r="5635">
          <cell r="A5635" t="str">
            <v>2575</v>
          </cell>
        </row>
        <row r="5636">
          <cell r="A5636" t="str">
            <v>2576</v>
          </cell>
        </row>
        <row r="5637">
          <cell r="A5637" t="str">
            <v>2577</v>
          </cell>
        </row>
        <row r="5638">
          <cell r="A5638" t="str">
            <v>2578</v>
          </cell>
        </row>
        <row r="5639">
          <cell r="A5639" t="str">
            <v>2579</v>
          </cell>
        </row>
        <row r="5640">
          <cell r="A5640" t="str">
            <v>257A</v>
          </cell>
        </row>
        <row r="5641">
          <cell r="A5641" t="str">
            <v>257B</v>
          </cell>
        </row>
        <row r="5642">
          <cell r="A5642" t="str">
            <v>257C</v>
          </cell>
        </row>
        <row r="5643">
          <cell r="A5643" t="str">
            <v>257D</v>
          </cell>
        </row>
        <row r="5644">
          <cell r="A5644" t="str">
            <v>257E</v>
          </cell>
        </row>
        <row r="5645">
          <cell r="A5645" t="str">
            <v>257F</v>
          </cell>
        </row>
        <row r="5646">
          <cell r="A5646" t="str">
            <v>2580</v>
          </cell>
        </row>
        <row r="5647">
          <cell r="A5647" t="str">
            <v>2581</v>
          </cell>
        </row>
        <row r="5648">
          <cell r="A5648" t="str">
            <v>2582</v>
          </cell>
        </row>
        <row r="5649">
          <cell r="A5649" t="str">
            <v>2583</v>
          </cell>
        </row>
        <row r="5650">
          <cell r="A5650" t="str">
            <v>2584</v>
          </cell>
        </row>
        <row r="5651">
          <cell r="A5651" t="str">
            <v>2585</v>
          </cell>
        </row>
        <row r="5652">
          <cell r="A5652" t="str">
            <v>2586</v>
          </cell>
        </row>
        <row r="5653">
          <cell r="A5653" t="str">
            <v>2587</v>
          </cell>
        </row>
        <row r="5654">
          <cell r="A5654" t="str">
            <v>2588</v>
          </cell>
        </row>
        <row r="5655">
          <cell r="A5655" t="str">
            <v>2589</v>
          </cell>
        </row>
        <row r="5656">
          <cell r="A5656" t="str">
            <v>258A</v>
          </cell>
        </row>
        <row r="5657">
          <cell r="A5657" t="str">
            <v>258B</v>
          </cell>
        </row>
        <row r="5658">
          <cell r="A5658" t="str">
            <v>258C</v>
          </cell>
        </row>
        <row r="5659">
          <cell r="A5659" t="str">
            <v>258D</v>
          </cell>
        </row>
        <row r="5660">
          <cell r="A5660" t="str">
            <v>258E</v>
          </cell>
        </row>
        <row r="5661">
          <cell r="A5661" t="str">
            <v>258F</v>
          </cell>
        </row>
        <row r="5662">
          <cell r="A5662" t="str">
            <v>2590</v>
          </cell>
        </row>
        <row r="5663">
          <cell r="A5663" t="str">
            <v>2591</v>
          </cell>
        </row>
        <row r="5664">
          <cell r="A5664" t="str">
            <v>2592</v>
          </cell>
        </row>
        <row r="5665">
          <cell r="A5665" t="str">
            <v>2593</v>
          </cell>
        </row>
        <row r="5666">
          <cell r="A5666" t="str">
            <v>2594</v>
          </cell>
        </row>
        <row r="5667">
          <cell r="A5667" t="str">
            <v>2595</v>
          </cell>
        </row>
        <row r="5668">
          <cell r="A5668" t="str">
            <v>2596</v>
          </cell>
        </row>
        <row r="5669">
          <cell r="A5669" t="str">
            <v>2597</v>
          </cell>
        </row>
        <row r="5670">
          <cell r="A5670" t="str">
            <v>2598</v>
          </cell>
        </row>
        <row r="5671">
          <cell r="A5671" t="str">
            <v>2599</v>
          </cell>
        </row>
        <row r="5672">
          <cell r="A5672" t="str">
            <v>259A</v>
          </cell>
        </row>
        <row r="5673">
          <cell r="A5673" t="str">
            <v>259B</v>
          </cell>
        </row>
        <row r="5674">
          <cell r="A5674" t="str">
            <v>259C</v>
          </cell>
        </row>
        <row r="5675">
          <cell r="A5675" t="str">
            <v>259D</v>
          </cell>
        </row>
        <row r="5676">
          <cell r="A5676" t="str">
            <v>259E</v>
          </cell>
        </row>
        <row r="5677">
          <cell r="A5677" t="str">
            <v>259F</v>
          </cell>
        </row>
        <row r="5678">
          <cell r="A5678" t="str">
            <v>25A0</v>
          </cell>
        </row>
        <row r="5679">
          <cell r="A5679" t="str">
            <v>25A1</v>
          </cell>
        </row>
        <row r="5680">
          <cell r="A5680" t="str">
            <v>25A2</v>
          </cell>
        </row>
        <row r="5681">
          <cell r="A5681" t="str">
            <v>25A3</v>
          </cell>
        </row>
        <row r="5682">
          <cell r="A5682" t="str">
            <v>25A4</v>
          </cell>
        </row>
        <row r="5683">
          <cell r="A5683" t="str">
            <v>25A5</v>
          </cell>
        </row>
        <row r="5684">
          <cell r="A5684" t="str">
            <v>25A6</v>
          </cell>
        </row>
        <row r="5685">
          <cell r="A5685" t="str">
            <v>25A7</v>
          </cell>
        </row>
        <row r="5686">
          <cell r="A5686" t="str">
            <v>25A8</v>
          </cell>
        </row>
        <row r="5687">
          <cell r="A5687" t="str">
            <v>25A9</v>
          </cell>
        </row>
        <row r="5688">
          <cell r="A5688" t="str">
            <v>25AA</v>
          </cell>
        </row>
        <row r="5689">
          <cell r="A5689" t="str">
            <v>25AB</v>
          </cell>
        </row>
        <row r="5690">
          <cell r="A5690" t="str">
            <v>25AC</v>
          </cell>
        </row>
        <row r="5691">
          <cell r="A5691" t="str">
            <v>25AD</v>
          </cell>
        </row>
        <row r="5692">
          <cell r="A5692" t="str">
            <v>25AE</v>
          </cell>
        </row>
        <row r="5693">
          <cell r="A5693" t="str">
            <v>25AF</v>
          </cell>
        </row>
        <row r="5694">
          <cell r="A5694" t="str">
            <v>25B0</v>
          </cell>
        </row>
        <row r="5695">
          <cell r="A5695" t="str">
            <v>25B1</v>
          </cell>
        </row>
        <row r="5696">
          <cell r="A5696" t="str">
            <v>25B2</v>
          </cell>
        </row>
        <row r="5697">
          <cell r="A5697" t="str">
            <v>25B3</v>
          </cell>
        </row>
        <row r="5698">
          <cell r="A5698" t="str">
            <v>25B4</v>
          </cell>
        </row>
        <row r="5699">
          <cell r="A5699" t="str">
            <v>25B5</v>
          </cell>
        </row>
        <row r="5700">
          <cell r="A5700" t="str">
            <v>25B6</v>
          </cell>
        </row>
        <row r="5701">
          <cell r="A5701" t="str">
            <v>2600</v>
          </cell>
        </row>
        <row r="5702">
          <cell r="A5702" t="str">
            <v>2601</v>
          </cell>
        </row>
        <row r="5703">
          <cell r="A5703" t="str">
            <v>2602</v>
          </cell>
        </row>
        <row r="5704">
          <cell r="A5704" t="str">
            <v>2603</v>
          </cell>
        </row>
        <row r="5705">
          <cell r="A5705" t="str">
            <v>2604</v>
          </cell>
        </row>
        <row r="5706">
          <cell r="A5706" t="str">
            <v>2605</v>
          </cell>
        </row>
        <row r="5707">
          <cell r="A5707" t="str">
            <v>2606</v>
          </cell>
        </row>
        <row r="5708">
          <cell r="A5708" t="str">
            <v>2607</v>
          </cell>
        </row>
        <row r="5709">
          <cell r="A5709" t="str">
            <v>2608</v>
          </cell>
        </row>
        <row r="5710">
          <cell r="A5710" t="str">
            <v>2609</v>
          </cell>
        </row>
        <row r="5711">
          <cell r="A5711" t="str">
            <v>260A</v>
          </cell>
        </row>
        <row r="5712">
          <cell r="A5712" t="str">
            <v>260B</v>
          </cell>
        </row>
        <row r="5713">
          <cell r="A5713" t="str">
            <v>260C</v>
          </cell>
        </row>
        <row r="5714">
          <cell r="A5714" t="str">
            <v>260D</v>
          </cell>
        </row>
        <row r="5715">
          <cell r="A5715" t="str">
            <v>260E</v>
          </cell>
        </row>
        <row r="5716">
          <cell r="A5716" t="str">
            <v>260F</v>
          </cell>
        </row>
        <row r="5717">
          <cell r="A5717" t="str">
            <v>2610</v>
          </cell>
        </row>
        <row r="5718">
          <cell r="A5718" t="str">
            <v>2611</v>
          </cell>
        </row>
        <row r="5719">
          <cell r="A5719" t="str">
            <v>2612</v>
          </cell>
        </row>
        <row r="5720">
          <cell r="A5720" t="str">
            <v>2613</v>
          </cell>
        </row>
        <row r="5721">
          <cell r="A5721" t="str">
            <v>2614</v>
          </cell>
        </row>
        <row r="5722">
          <cell r="A5722" t="str">
            <v>2615</v>
          </cell>
        </row>
        <row r="5723">
          <cell r="A5723" t="str">
            <v>2616</v>
          </cell>
        </row>
        <row r="5724">
          <cell r="A5724" t="str">
            <v>2617</v>
          </cell>
        </row>
        <row r="5725">
          <cell r="A5725" t="str">
            <v>2618</v>
          </cell>
        </row>
        <row r="5726">
          <cell r="A5726" t="str">
            <v>2619</v>
          </cell>
        </row>
        <row r="5727">
          <cell r="A5727" t="str">
            <v>261A</v>
          </cell>
        </row>
        <row r="5728">
          <cell r="A5728" t="str">
            <v>261B</v>
          </cell>
        </row>
        <row r="5729">
          <cell r="A5729" t="str">
            <v>261C</v>
          </cell>
        </row>
        <row r="5730">
          <cell r="A5730" t="str">
            <v>261D</v>
          </cell>
        </row>
        <row r="5731">
          <cell r="A5731" t="str">
            <v>261E</v>
          </cell>
        </row>
        <row r="5732">
          <cell r="A5732" t="str">
            <v>261F</v>
          </cell>
        </row>
        <row r="5733">
          <cell r="A5733" t="str">
            <v>2620</v>
          </cell>
        </row>
        <row r="5734">
          <cell r="A5734" t="str">
            <v>2621</v>
          </cell>
        </row>
        <row r="5735">
          <cell r="A5735" t="str">
            <v>2622</v>
          </cell>
        </row>
        <row r="5736">
          <cell r="A5736" t="str">
            <v>2623</v>
          </cell>
        </row>
        <row r="5737">
          <cell r="A5737" t="str">
            <v>2624</v>
          </cell>
        </row>
        <row r="5738">
          <cell r="A5738" t="str">
            <v>2625</v>
          </cell>
        </row>
        <row r="5739">
          <cell r="A5739" t="str">
            <v>2626</v>
          </cell>
        </row>
        <row r="5740">
          <cell r="A5740" t="str">
            <v>2627</v>
          </cell>
        </row>
        <row r="5741">
          <cell r="A5741" t="str">
            <v>2628</v>
          </cell>
        </row>
        <row r="5742">
          <cell r="A5742" t="str">
            <v>2629</v>
          </cell>
        </row>
        <row r="5743">
          <cell r="A5743" t="str">
            <v>262A</v>
          </cell>
        </row>
        <row r="5744">
          <cell r="A5744" t="str">
            <v>262B</v>
          </cell>
        </row>
        <row r="5745">
          <cell r="A5745" t="str">
            <v>262C</v>
          </cell>
        </row>
        <row r="5746">
          <cell r="A5746" t="str">
            <v>262D</v>
          </cell>
        </row>
        <row r="5747">
          <cell r="A5747" t="str">
            <v>262E</v>
          </cell>
        </row>
        <row r="5748">
          <cell r="A5748" t="str">
            <v>262F</v>
          </cell>
        </row>
        <row r="5749">
          <cell r="A5749" t="str">
            <v>2630</v>
          </cell>
        </row>
        <row r="5750">
          <cell r="A5750" t="str">
            <v>2631</v>
          </cell>
        </row>
        <row r="5751">
          <cell r="A5751" t="str">
            <v>2632</v>
          </cell>
        </row>
        <row r="5752">
          <cell r="A5752" t="str">
            <v>2633</v>
          </cell>
        </row>
        <row r="5753">
          <cell r="A5753" t="str">
            <v>2634</v>
          </cell>
        </row>
        <row r="5754">
          <cell r="A5754" t="str">
            <v>2635</v>
          </cell>
        </row>
        <row r="5755">
          <cell r="A5755" t="str">
            <v>2636</v>
          </cell>
        </row>
        <row r="5756">
          <cell r="A5756" t="str">
            <v>2637</v>
          </cell>
        </row>
        <row r="5757">
          <cell r="A5757" t="str">
            <v>2638</v>
          </cell>
        </row>
        <row r="5758">
          <cell r="A5758" t="str">
            <v>2639</v>
          </cell>
        </row>
        <row r="5759">
          <cell r="A5759" t="str">
            <v>263A</v>
          </cell>
        </row>
        <row r="5760">
          <cell r="A5760" t="str">
            <v>263B</v>
          </cell>
        </row>
        <row r="5761">
          <cell r="A5761" t="str">
            <v>263C</v>
          </cell>
        </row>
        <row r="5762">
          <cell r="A5762" t="str">
            <v>263D</v>
          </cell>
        </row>
        <row r="5763">
          <cell r="A5763" t="str">
            <v>263E</v>
          </cell>
        </row>
        <row r="5764">
          <cell r="A5764" t="str">
            <v>263F</v>
          </cell>
        </row>
        <row r="5765">
          <cell r="A5765" t="str">
            <v>2640</v>
          </cell>
        </row>
        <row r="5766">
          <cell r="A5766" t="str">
            <v>2641</v>
          </cell>
        </row>
        <row r="5767">
          <cell r="A5767" t="str">
            <v>2642</v>
          </cell>
        </row>
        <row r="5768">
          <cell r="A5768" t="str">
            <v>2643</v>
          </cell>
        </row>
        <row r="5769">
          <cell r="A5769" t="str">
            <v>2644</v>
          </cell>
        </row>
        <row r="5770">
          <cell r="A5770" t="str">
            <v>2645</v>
          </cell>
        </row>
        <row r="5771">
          <cell r="A5771" t="str">
            <v>2646</v>
          </cell>
        </row>
        <row r="5772">
          <cell r="A5772" t="str">
            <v>2647</v>
          </cell>
        </row>
        <row r="5773">
          <cell r="A5773" t="str">
            <v>2648</v>
          </cell>
        </row>
        <row r="5774">
          <cell r="A5774" t="str">
            <v>2649</v>
          </cell>
        </row>
        <row r="5775">
          <cell r="A5775" t="str">
            <v>264A</v>
          </cell>
        </row>
        <row r="5776">
          <cell r="A5776" t="str">
            <v>264B</v>
          </cell>
        </row>
        <row r="5777">
          <cell r="A5777" t="str">
            <v>264C</v>
          </cell>
        </row>
        <row r="5778">
          <cell r="A5778" t="str">
            <v>264D</v>
          </cell>
        </row>
        <row r="5779">
          <cell r="A5779" t="str">
            <v>264E</v>
          </cell>
        </row>
        <row r="5780">
          <cell r="A5780" t="str">
            <v>264F</v>
          </cell>
        </row>
        <row r="5781">
          <cell r="A5781" t="str">
            <v>2650</v>
          </cell>
        </row>
        <row r="5782">
          <cell r="A5782" t="str">
            <v>2651</v>
          </cell>
        </row>
        <row r="5783">
          <cell r="A5783" t="str">
            <v>2652</v>
          </cell>
        </row>
        <row r="5784">
          <cell r="A5784" t="str">
            <v>2653</v>
          </cell>
        </row>
        <row r="5785">
          <cell r="A5785" t="str">
            <v>2654</v>
          </cell>
        </row>
        <row r="5786">
          <cell r="A5786" t="str">
            <v>2655</v>
          </cell>
        </row>
        <row r="5787">
          <cell r="A5787" t="str">
            <v>2656</v>
          </cell>
        </row>
        <row r="5788">
          <cell r="A5788" t="str">
            <v>2657</v>
          </cell>
        </row>
        <row r="5789">
          <cell r="A5789" t="str">
            <v>2658</v>
          </cell>
        </row>
        <row r="5790">
          <cell r="A5790" t="str">
            <v>2659</v>
          </cell>
        </row>
        <row r="5791">
          <cell r="A5791" t="str">
            <v>265A</v>
          </cell>
        </row>
        <row r="5792">
          <cell r="A5792" t="str">
            <v>265B</v>
          </cell>
        </row>
        <row r="5793">
          <cell r="A5793" t="str">
            <v>265C</v>
          </cell>
        </row>
        <row r="5794">
          <cell r="A5794" t="str">
            <v>265D</v>
          </cell>
        </row>
        <row r="5795">
          <cell r="A5795" t="str">
            <v>265E</v>
          </cell>
        </row>
        <row r="5796">
          <cell r="A5796" t="str">
            <v>265F</v>
          </cell>
        </row>
        <row r="5797">
          <cell r="A5797" t="str">
            <v>2660</v>
          </cell>
        </row>
        <row r="5798">
          <cell r="A5798" t="str">
            <v>2661</v>
          </cell>
        </row>
        <row r="5799">
          <cell r="A5799" t="str">
            <v>2662</v>
          </cell>
        </row>
        <row r="5800">
          <cell r="A5800" t="str">
            <v>2663</v>
          </cell>
        </row>
        <row r="5801">
          <cell r="A5801" t="str">
            <v>2664</v>
          </cell>
        </row>
        <row r="5802">
          <cell r="A5802" t="str">
            <v>2665</v>
          </cell>
        </row>
        <row r="5803">
          <cell r="A5803" t="str">
            <v>2666</v>
          </cell>
        </row>
        <row r="5804">
          <cell r="A5804" t="str">
            <v>2667</v>
          </cell>
        </row>
        <row r="5805">
          <cell r="A5805" t="str">
            <v>2668</v>
          </cell>
        </row>
        <row r="5806">
          <cell r="A5806" t="str">
            <v>2669</v>
          </cell>
        </row>
        <row r="5807">
          <cell r="A5807" t="str">
            <v>266A</v>
          </cell>
        </row>
        <row r="5808">
          <cell r="A5808" t="str">
            <v>266B</v>
          </cell>
        </row>
        <row r="5809">
          <cell r="A5809" t="str">
            <v>266C</v>
          </cell>
        </row>
        <row r="5810">
          <cell r="A5810" t="str">
            <v>266D</v>
          </cell>
        </row>
        <row r="5811">
          <cell r="A5811" t="str">
            <v>266E</v>
          </cell>
        </row>
        <row r="5812">
          <cell r="A5812" t="str">
            <v>266F</v>
          </cell>
        </row>
        <row r="5813">
          <cell r="A5813" t="str">
            <v>2670</v>
          </cell>
        </row>
        <row r="5814">
          <cell r="A5814" t="str">
            <v>2671</v>
          </cell>
        </row>
        <row r="5815">
          <cell r="A5815" t="str">
            <v>2672</v>
          </cell>
        </row>
        <row r="5816">
          <cell r="A5816" t="str">
            <v>2673</v>
          </cell>
        </row>
        <row r="5817">
          <cell r="A5817" t="str">
            <v>2674</v>
          </cell>
        </row>
        <row r="5818">
          <cell r="A5818" t="str">
            <v>2675</v>
          </cell>
        </row>
        <row r="5819">
          <cell r="A5819" t="str">
            <v>2676</v>
          </cell>
        </row>
        <row r="5820">
          <cell r="A5820" t="str">
            <v>2677</v>
          </cell>
        </row>
        <row r="5821">
          <cell r="A5821" t="str">
            <v>2678</v>
          </cell>
        </row>
        <row r="5822">
          <cell r="A5822" t="str">
            <v>2679</v>
          </cell>
        </row>
        <row r="5823">
          <cell r="A5823" t="str">
            <v>267A</v>
          </cell>
        </row>
        <row r="5824">
          <cell r="A5824" t="str">
            <v>267B</v>
          </cell>
        </row>
        <row r="5825">
          <cell r="A5825" t="str">
            <v>267C</v>
          </cell>
        </row>
        <row r="5826">
          <cell r="A5826" t="str">
            <v>267D</v>
          </cell>
        </row>
        <row r="5827">
          <cell r="A5827" t="str">
            <v>267E</v>
          </cell>
        </row>
        <row r="5828">
          <cell r="A5828" t="str">
            <v>2680</v>
          </cell>
        </row>
        <row r="5829">
          <cell r="A5829" t="str">
            <v>2681</v>
          </cell>
        </row>
        <row r="5830">
          <cell r="A5830" t="str">
            <v>2682</v>
          </cell>
        </row>
        <row r="5831">
          <cell r="A5831" t="str">
            <v>2683</v>
          </cell>
        </row>
        <row r="5832">
          <cell r="A5832" t="str">
            <v>2684</v>
          </cell>
        </row>
        <row r="5833">
          <cell r="A5833" t="str">
            <v>2685</v>
          </cell>
        </row>
        <row r="5834">
          <cell r="A5834" t="str">
            <v>2686</v>
          </cell>
        </row>
        <row r="5835">
          <cell r="A5835" t="str">
            <v>2687</v>
          </cell>
        </row>
        <row r="5836">
          <cell r="A5836" t="str">
            <v>2688</v>
          </cell>
        </row>
        <row r="5837">
          <cell r="A5837" t="str">
            <v>2689</v>
          </cell>
        </row>
        <row r="5838">
          <cell r="A5838" t="str">
            <v>268A</v>
          </cell>
        </row>
        <row r="5839">
          <cell r="A5839" t="str">
            <v>268B</v>
          </cell>
        </row>
        <row r="5840">
          <cell r="A5840" t="str">
            <v>268C</v>
          </cell>
        </row>
        <row r="5841">
          <cell r="A5841" t="str">
            <v>268D</v>
          </cell>
        </row>
        <row r="5842">
          <cell r="A5842" t="str">
            <v>268E</v>
          </cell>
        </row>
        <row r="5843">
          <cell r="A5843" t="str">
            <v>268F</v>
          </cell>
        </row>
        <row r="5844">
          <cell r="A5844" t="str">
            <v>2690</v>
          </cell>
        </row>
        <row r="5845">
          <cell r="A5845" t="str">
            <v>2691</v>
          </cell>
        </row>
        <row r="5846">
          <cell r="A5846" t="str">
            <v>2692</v>
          </cell>
        </row>
        <row r="5847">
          <cell r="A5847" t="str">
            <v>2693</v>
          </cell>
        </row>
        <row r="5848">
          <cell r="A5848" t="str">
            <v>2694</v>
          </cell>
        </row>
        <row r="5849">
          <cell r="A5849" t="str">
            <v>2695</v>
          </cell>
        </row>
        <row r="5850">
          <cell r="A5850" t="str">
            <v>2696</v>
          </cell>
        </row>
        <row r="5851">
          <cell r="A5851" t="str">
            <v>2697</v>
          </cell>
        </row>
        <row r="5852">
          <cell r="A5852" t="str">
            <v>2698</v>
          </cell>
        </row>
        <row r="5853">
          <cell r="A5853" t="str">
            <v>2699</v>
          </cell>
        </row>
        <row r="5854">
          <cell r="A5854" t="str">
            <v>269A</v>
          </cell>
        </row>
        <row r="5855">
          <cell r="A5855" t="str">
            <v>269B</v>
          </cell>
        </row>
        <row r="5856">
          <cell r="A5856" t="str">
            <v>269C</v>
          </cell>
        </row>
        <row r="5857">
          <cell r="A5857" t="str">
            <v>269D</v>
          </cell>
        </row>
        <row r="5858">
          <cell r="A5858" t="str">
            <v>269E</v>
          </cell>
        </row>
        <row r="5859">
          <cell r="A5859" t="str">
            <v>269F</v>
          </cell>
        </row>
        <row r="5860">
          <cell r="A5860" t="str">
            <v>26A0</v>
          </cell>
        </row>
        <row r="5861">
          <cell r="A5861" t="str">
            <v>26A1</v>
          </cell>
        </row>
        <row r="5862">
          <cell r="A5862" t="str">
            <v>26A2</v>
          </cell>
        </row>
        <row r="5863">
          <cell r="A5863" t="str">
            <v>26A3</v>
          </cell>
        </row>
        <row r="5864">
          <cell r="A5864" t="str">
            <v>26A4</v>
          </cell>
        </row>
        <row r="5865">
          <cell r="A5865" t="str">
            <v>26A5</v>
          </cell>
        </row>
        <row r="5866">
          <cell r="A5866" t="str">
            <v>26A6</v>
          </cell>
        </row>
        <row r="5867">
          <cell r="A5867" t="str">
            <v>26A7</v>
          </cell>
        </row>
        <row r="5868">
          <cell r="A5868" t="str">
            <v>26A8</v>
          </cell>
        </row>
        <row r="5869">
          <cell r="A5869" t="str">
            <v>26A9</v>
          </cell>
        </row>
        <row r="5870">
          <cell r="A5870" t="str">
            <v>26AA</v>
          </cell>
        </row>
        <row r="5871">
          <cell r="A5871" t="str">
            <v>26AB</v>
          </cell>
        </row>
        <row r="5872">
          <cell r="A5872" t="str">
            <v>26AC</v>
          </cell>
        </row>
        <row r="5873">
          <cell r="A5873" t="str">
            <v>26AD</v>
          </cell>
        </row>
        <row r="5874">
          <cell r="A5874" t="str">
            <v>26AE</v>
          </cell>
        </row>
        <row r="5875">
          <cell r="A5875" t="str">
            <v>26AF</v>
          </cell>
        </row>
        <row r="5876">
          <cell r="A5876" t="str">
            <v>26B0</v>
          </cell>
        </row>
        <row r="5877">
          <cell r="A5877" t="str">
            <v>26B1</v>
          </cell>
        </row>
        <row r="5878">
          <cell r="A5878" t="str">
            <v>26B2</v>
          </cell>
        </row>
        <row r="5879">
          <cell r="A5879" t="str">
            <v>26B3</v>
          </cell>
        </row>
        <row r="5880">
          <cell r="A5880" t="str">
            <v>26B4</v>
          </cell>
        </row>
        <row r="5881">
          <cell r="A5881" t="str">
            <v>26B5</v>
          </cell>
        </row>
        <row r="5882">
          <cell r="A5882" t="str">
            <v>26B6</v>
          </cell>
        </row>
        <row r="5883">
          <cell r="A5883" t="str">
            <v>26B7</v>
          </cell>
        </row>
        <row r="5884">
          <cell r="A5884" t="str">
            <v>26B8</v>
          </cell>
        </row>
        <row r="5885">
          <cell r="A5885" t="str">
            <v>26B9</v>
          </cell>
        </row>
        <row r="5886">
          <cell r="A5886" t="str">
            <v>26BA</v>
          </cell>
        </row>
        <row r="5887">
          <cell r="A5887" t="str">
            <v>26BB</v>
          </cell>
        </row>
        <row r="5888">
          <cell r="A5888" t="str">
            <v>26BC</v>
          </cell>
        </row>
        <row r="5889">
          <cell r="A5889" t="str">
            <v>26BD</v>
          </cell>
        </row>
        <row r="5890">
          <cell r="A5890" t="str">
            <v>26BE</v>
          </cell>
        </row>
        <row r="5891">
          <cell r="A5891" t="str">
            <v>26BF</v>
          </cell>
        </row>
        <row r="5892">
          <cell r="A5892" t="str">
            <v>26C0</v>
          </cell>
        </row>
        <row r="5893">
          <cell r="A5893" t="str">
            <v>26C1</v>
          </cell>
        </row>
        <row r="5894">
          <cell r="A5894" t="str">
            <v>26C2</v>
          </cell>
        </row>
        <row r="5895">
          <cell r="A5895" t="str">
            <v>26C3</v>
          </cell>
        </row>
        <row r="5896">
          <cell r="A5896" t="str">
            <v>26C4</v>
          </cell>
        </row>
        <row r="5897">
          <cell r="A5897" t="str">
            <v>26C5</v>
          </cell>
        </row>
        <row r="5898">
          <cell r="A5898" t="str">
            <v>26C6</v>
          </cell>
        </row>
        <row r="5899">
          <cell r="A5899" t="str">
            <v>26C7</v>
          </cell>
        </row>
        <row r="5900">
          <cell r="A5900" t="str">
            <v>26C8</v>
          </cell>
        </row>
        <row r="5901">
          <cell r="A5901" t="str">
            <v>26C9</v>
          </cell>
        </row>
        <row r="5902">
          <cell r="A5902" t="str">
            <v>26CA</v>
          </cell>
        </row>
        <row r="5903">
          <cell r="A5903" t="str">
            <v>26CB</v>
          </cell>
        </row>
        <row r="5904">
          <cell r="A5904" t="str">
            <v>26CC</v>
          </cell>
        </row>
        <row r="5905">
          <cell r="A5905" t="str">
            <v>26CD</v>
          </cell>
        </row>
        <row r="5906">
          <cell r="A5906" t="str">
            <v>26CE</v>
          </cell>
        </row>
        <row r="5907">
          <cell r="A5907" t="str">
            <v>26CF</v>
          </cell>
        </row>
        <row r="5908">
          <cell r="A5908" t="str">
            <v>26D0</v>
          </cell>
        </row>
        <row r="5909">
          <cell r="A5909" t="str">
            <v>26D1</v>
          </cell>
        </row>
        <row r="5910">
          <cell r="A5910" t="str">
            <v>26D2</v>
          </cell>
        </row>
        <row r="5911">
          <cell r="A5911" t="str">
            <v>26D3</v>
          </cell>
        </row>
        <row r="5912">
          <cell r="A5912" t="str">
            <v>26D4</v>
          </cell>
        </row>
        <row r="5913">
          <cell r="A5913" t="str">
            <v>26D5</v>
          </cell>
        </row>
        <row r="5914">
          <cell r="A5914" t="str">
            <v>26D6</v>
          </cell>
        </row>
        <row r="5915">
          <cell r="A5915" t="str">
            <v>26D7</v>
          </cell>
        </row>
        <row r="5916">
          <cell r="A5916" t="str">
            <v>26D8</v>
          </cell>
        </row>
        <row r="5917">
          <cell r="A5917" t="str">
            <v>26D9</v>
          </cell>
        </row>
        <row r="5918">
          <cell r="A5918" t="str">
            <v>26DA</v>
          </cell>
        </row>
        <row r="5919">
          <cell r="A5919" t="str">
            <v>26DB</v>
          </cell>
        </row>
        <row r="5920">
          <cell r="A5920" t="str">
            <v>26DC</v>
          </cell>
        </row>
        <row r="5921">
          <cell r="A5921" t="str">
            <v>26DD</v>
          </cell>
        </row>
        <row r="5922">
          <cell r="A5922" t="str">
            <v>26DE</v>
          </cell>
        </row>
        <row r="5923">
          <cell r="A5923" t="str">
            <v>26E4</v>
          </cell>
        </row>
        <row r="5924">
          <cell r="A5924" t="str">
            <v>26E5</v>
          </cell>
        </row>
        <row r="5925">
          <cell r="A5925" t="str">
            <v>26E6</v>
          </cell>
        </row>
        <row r="5926">
          <cell r="A5926" t="str">
            <v>26E7</v>
          </cell>
        </row>
        <row r="5927">
          <cell r="A5927" t="str">
            <v>26E8</v>
          </cell>
        </row>
        <row r="5928">
          <cell r="A5928" t="str">
            <v>26E9</v>
          </cell>
        </row>
        <row r="5929">
          <cell r="A5929" t="str">
            <v>2700</v>
          </cell>
        </row>
        <row r="5930">
          <cell r="A5930" t="str">
            <v>2701</v>
          </cell>
        </row>
        <row r="5931">
          <cell r="A5931" t="str">
            <v>2702</v>
          </cell>
        </row>
        <row r="5932">
          <cell r="A5932" t="str">
            <v>2703</v>
          </cell>
        </row>
        <row r="5933">
          <cell r="A5933" t="str">
            <v>2704</v>
          </cell>
        </row>
        <row r="5934">
          <cell r="A5934" t="str">
            <v>2705</v>
          </cell>
        </row>
        <row r="5935">
          <cell r="A5935" t="str">
            <v>2706</v>
          </cell>
        </row>
        <row r="5936">
          <cell r="A5936" t="str">
            <v>2707</v>
          </cell>
        </row>
        <row r="5937">
          <cell r="A5937" t="str">
            <v>2708</v>
          </cell>
        </row>
        <row r="5938">
          <cell r="A5938" t="str">
            <v>2709</v>
          </cell>
        </row>
        <row r="5939">
          <cell r="A5939" t="str">
            <v>270A</v>
          </cell>
        </row>
        <row r="5940">
          <cell r="A5940" t="str">
            <v>270B</v>
          </cell>
        </row>
        <row r="5941">
          <cell r="A5941" t="str">
            <v>270C</v>
          </cell>
        </row>
        <row r="5942">
          <cell r="A5942" t="str">
            <v>270D</v>
          </cell>
        </row>
        <row r="5943">
          <cell r="A5943" t="str">
            <v>270E</v>
          </cell>
        </row>
        <row r="5944">
          <cell r="A5944" t="str">
            <v>270F</v>
          </cell>
        </row>
        <row r="5945">
          <cell r="A5945" t="str">
            <v>2710</v>
          </cell>
        </row>
        <row r="5946">
          <cell r="A5946" t="str">
            <v>2711</v>
          </cell>
        </row>
        <row r="5947">
          <cell r="A5947" t="str">
            <v>2712</v>
          </cell>
        </row>
        <row r="5948">
          <cell r="A5948" t="str">
            <v>2713</v>
          </cell>
        </row>
        <row r="5949">
          <cell r="A5949" t="str">
            <v>2714</v>
          </cell>
        </row>
        <row r="5950">
          <cell r="A5950" t="str">
            <v>2715</v>
          </cell>
        </row>
        <row r="5951">
          <cell r="A5951" t="str">
            <v>2716</v>
          </cell>
        </row>
        <row r="5952">
          <cell r="A5952" t="str">
            <v>2717</v>
          </cell>
        </row>
        <row r="5953">
          <cell r="A5953" t="str">
            <v>2718</v>
          </cell>
        </row>
        <row r="5954">
          <cell r="A5954" t="str">
            <v>2719</v>
          </cell>
        </row>
        <row r="5955">
          <cell r="A5955" t="str">
            <v>2720</v>
          </cell>
        </row>
        <row r="5956">
          <cell r="A5956" t="str">
            <v>2721</v>
          </cell>
        </row>
        <row r="5957">
          <cell r="A5957" t="str">
            <v>2722</v>
          </cell>
        </row>
        <row r="5958">
          <cell r="A5958" t="str">
            <v>2723</v>
          </cell>
        </row>
        <row r="5959">
          <cell r="A5959" t="str">
            <v>2724</v>
          </cell>
        </row>
        <row r="5960">
          <cell r="A5960" t="str">
            <v>2725</v>
          </cell>
        </row>
        <row r="5961">
          <cell r="A5961" t="str">
            <v>2726</v>
          </cell>
        </row>
        <row r="5962">
          <cell r="A5962" t="str">
            <v>2727</v>
          </cell>
        </row>
        <row r="5963">
          <cell r="A5963" t="str">
            <v>2728</v>
          </cell>
        </row>
        <row r="5964">
          <cell r="A5964" t="str">
            <v>2729</v>
          </cell>
        </row>
        <row r="5965">
          <cell r="A5965" t="str">
            <v>2730</v>
          </cell>
        </row>
        <row r="5966">
          <cell r="A5966" t="str">
            <v>2731</v>
          </cell>
        </row>
        <row r="5967">
          <cell r="A5967" t="str">
            <v>2732</v>
          </cell>
        </row>
        <row r="5968">
          <cell r="A5968" t="str">
            <v>2733</v>
          </cell>
        </row>
        <row r="5969">
          <cell r="A5969" t="str">
            <v>2734</v>
          </cell>
        </row>
        <row r="5970">
          <cell r="A5970" t="str">
            <v>2735</v>
          </cell>
        </row>
        <row r="5971">
          <cell r="A5971" t="str">
            <v>2736</v>
          </cell>
        </row>
        <row r="5972">
          <cell r="A5972" t="str">
            <v>2737</v>
          </cell>
        </row>
        <row r="5973">
          <cell r="A5973" t="str">
            <v>2738</v>
          </cell>
        </row>
        <row r="5974">
          <cell r="A5974" t="str">
            <v>2739</v>
          </cell>
        </row>
        <row r="5975">
          <cell r="A5975" t="str">
            <v>273A</v>
          </cell>
        </row>
        <row r="5976">
          <cell r="A5976" t="str">
            <v>273B</v>
          </cell>
        </row>
        <row r="5977">
          <cell r="A5977" t="str">
            <v>273F</v>
          </cell>
        </row>
        <row r="5978">
          <cell r="A5978" t="str">
            <v>2740</v>
          </cell>
        </row>
        <row r="5979">
          <cell r="A5979" t="str">
            <v>2741</v>
          </cell>
        </row>
        <row r="5980">
          <cell r="A5980" t="str">
            <v>2742</v>
          </cell>
        </row>
        <row r="5981">
          <cell r="A5981" t="str">
            <v>2743</v>
          </cell>
        </row>
        <row r="5982">
          <cell r="A5982" t="str">
            <v>2744</v>
          </cell>
        </row>
        <row r="5983">
          <cell r="A5983" t="str">
            <v>2745</v>
          </cell>
        </row>
        <row r="5984">
          <cell r="A5984" t="str">
            <v>2746</v>
          </cell>
        </row>
        <row r="5985">
          <cell r="A5985" t="str">
            <v>2747</v>
          </cell>
        </row>
        <row r="5986">
          <cell r="A5986" t="str">
            <v>2748</v>
          </cell>
        </row>
        <row r="5987">
          <cell r="A5987" t="str">
            <v>2749</v>
          </cell>
        </row>
        <row r="5988">
          <cell r="A5988" t="str">
            <v>274A</v>
          </cell>
        </row>
        <row r="5989">
          <cell r="A5989" t="str">
            <v>274B</v>
          </cell>
        </row>
        <row r="5990">
          <cell r="A5990" t="str">
            <v>274C</v>
          </cell>
        </row>
        <row r="5991">
          <cell r="A5991" t="str">
            <v>274D</v>
          </cell>
        </row>
        <row r="5992">
          <cell r="A5992" t="str">
            <v>274E</v>
          </cell>
        </row>
        <row r="5993">
          <cell r="A5993" t="str">
            <v>274F</v>
          </cell>
        </row>
        <row r="5994">
          <cell r="A5994" t="str">
            <v>2750</v>
          </cell>
        </row>
        <row r="5995">
          <cell r="A5995" t="str">
            <v>2751</v>
          </cell>
        </row>
        <row r="5996">
          <cell r="A5996" t="str">
            <v>2752</v>
          </cell>
        </row>
        <row r="5997">
          <cell r="A5997" t="str">
            <v>2753</v>
          </cell>
        </row>
        <row r="5998">
          <cell r="A5998" t="str">
            <v>2754</v>
          </cell>
        </row>
        <row r="5999">
          <cell r="A5999" t="str">
            <v>2755</v>
          </cell>
        </row>
        <row r="6000">
          <cell r="A6000" t="str">
            <v>2756</v>
          </cell>
        </row>
        <row r="6001">
          <cell r="A6001" t="str">
            <v>2757</v>
          </cell>
        </row>
        <row r="6002">
          <cell r="A6002" t="str">
            <v>2758</v>
          </cell>
        </row>
        <row r="6003">
          <cell r="A6003" t="str">
            <v>2759</v>
          </cell>
        </row>
        <row r="6004">
          <cell r="A6004" t="str">
            <v>2760</v>
          </cell>
        </row>
        <row r="6005">
          <cell r="A6005" t="str">
            <v>2761</v>
          </cell>
        </row>
        <row r="6006">
          <cell r="A6006" t="str">
            <v>2762</v>
          </cell>
        </row>
        <row r="6007">
          <cell r="A6007" t="str">
            <v>2763</v>
          </cell>
        </row>
        <row r="6008">
          <cell r="A6008" t="str">
            <v>2764</v>
          </cell>
        </row>
        <row r="6009">
          <cell r="A6009" t="str">
            <v>2765</v>
          </cell>
        </row>
        <row r="6010">
          <cell r="A6010" t="str">
            <v>2766</v>
          </cell>
        </row>
        <row r="6011">
          <cell r="A6011" t="str">
            <v>2767</v>
          </cell>
        </row>
        <row r="6012">
          <cell r="A6012" t="str">
            <v>2768</v>
          </cell>
        </row>
        <row r="6013">
          <cell r="A6013" t="str">
            <v>2769</v>
          </cell>
        </row>
        <row r="6014">
          <cell r="A6014" t="str">
            <v>2770</v>
          </cell>
        </row>
        <row r="6015">
          <cell r="A6015" t="str">
            <v>2771</v>
          </cell>
        </row>
        <row r="6016">
          <cell r="A6016" t="str">
            <v>2772</v>
          </cell>
        </row>
        <row r="6017">
          <cell r="A6017" t="str">
            <v>2773</v>
          </cell>
        </row>
        <row r="6018">
          <cell r="A6018" t="str">
            <v>2774</v>
          </cell>
        </row>
        <row r="6019">
          <cell r="A6019" t="str">
            <v>2775</v>
          </cell>
        </row>
        <row r="6020">
          <cell r="A6020" t="str">
            <v>2776</v>
          </cell>
        </row>
        <row r="6021">
          <cell r="A6021" t="str">
            <v>2777</v>
          </cell>
        </row>
        <row r="6022">
          <cell r="A6022" t="str">
            <v>2778</v>
          </cell>
        </row>
        <row r="6023">
          <cell r="A6023" t="str">
            <v>2779</v>
          </cell>
        </row>
        <row r="6024">
          <cell r="A6024" t="str">
            <v>2780</v>
          </cell>
        </row>
        <row r="6025">
          <cell r="A6025" t="str">
            <v>2781</v>
          </cell>
        </row>
        <row r="6026">
          <cell r="A6026" t="str">
            <v>2782</v>
          </cell>
        </row>
        <row r="6027">
          <cell r="A6027" t="str">
            <v>2783</v>
          </cell>
        </row>
        <row r="6028">
          <cell r="A6028" t="str">
            <v>2784</v>
          </cell>
        </row>
        <row r="6029">
          <cell r="A6029" t="str">
            <v>2785</v>
          </cell>
        </row>
        <row r="6030">
          <cell r="A6030" t="str">
            <v>2786</v>
          </cell>
        </row>
        <row r="6031">
          <cell r="A6031" t="str">
            <v>2787</v>
          </cell>
        </row>
        <row r="6032">
          <cell r="A6032" t="str">
            <v>2788</v>
          </cell>
        </row>
        <row r="6033">
          <cell r="A6033" t="str">
            <v>2789</v>
          </cell>
        </row>
        <row r="6034">
          <cell r="A6034" t="str">
            <v>278A</v>
          </cell>
        </row>
        <row r="6035">
          <cell r="A6035" t="str">
            <v>278B</v>
          </cell>
        </row>
        <row r="6036">
          <cell r="A6036" t="str">
            <v>278C</v>
          </cell>
        </row>
        <row r="6037">
          <cell r="A6037" t="str">
            <v>278D</v>
          </cell>
        </row>
        <row r="6038">
          <cell r="A6038" t="str">
            <v>278E</v>
          </cell>
        </row>
        <row r="6039">
          <cell r="A6039" t="str">
            <v>278F</v>
          </cell>
        </row>
        <row r="6040">
          <cell r="A6040" t="str">
            <v>2790</v>
          </cell>
        </row>
        <row r="6041">
          <cell r="A6041" t="str">
            <v>2791</v>
          </cell>
        </row>
        <row r="6042">
          <cell r="A6042" t="str">
            <v>2792</v>
          </cell>
        </row>
        <row r="6043">
          <cell r="A6043" t="str">
            <v>2793</v>
          </cell>
        </row>
        <row r="6044">
          <cell r="A6044" t="str">
            <v>2794</v>
          </cell>
        </row>
        <row r="6045">
          <cell r="A6045" t="str">
            <v>2795</v>
          </cell>
        </row>
        <row r="6046">
          <cell r="A6046" t="str">
            <v>2796</v>
          </cell>
        </row>
        <row r="6047">
          <cell r="A6047" t="str">
            <v>2797</v>
          </cell>
        </row>
        <row r="6048">
          <cell r="A6048" t="str">
            <v>2798</v>
          </cell>
        </row>
        <row r="6049">
          <cell r="A6049" t="str">
            <v>2799</v>
          </cell>
        </row>
        <row r="6050">
          <cell r="A6050" t="str">
            <v>279A</v>
          </cell>
        </row>
        <row r="6051">
          <cell r="A6051" t="str">
            <v>279B</v>
          </cell>
        </row>
        <row r="6052">
          <cell r="A6052" t="str">
            <v>279C</v>
          </cell>
        </row>
        <row r="6053">
          <cell r="A6053" t="str">
            <v>279D</v>
          </cell>
        </row>
        <row r="6054">
          <cell r="A6054" t="str">
            <v>279E</v>
          </cell>
        </row>
        <row r="6055">
          <cell r="A6055" t="str">
            <v>279F</v>
          </cell>
        </row>
        <row r="6056">
          <cell r="A6056" t="str">
            <v>27A0</v>
          </cell>
        </row>
        <row r="6057">
          <cell r="A6057" t="str">
            <v>27A1</v>
          </cell>
        </row>
        <row r="6058">
          <cell r="A6058" t="str">
            <v>2800</v>
          </cell>
        </row>
        <row r="6059">
          <cell r="A6059" t="str">
            <v>2801</v>
          </cell>
        </row>
        <row r="6060">
          <cell r="A6060" t="str">
            <v>2802</v>
          </cell>
        </row>
        <row r="6061">
          <cell r="A6061" t="str">
            <v>2803</v>
          </cell>
        </row>
        <row r="6062">
          <cell r="A6062" t="str">
            <v>2804</v>
          </cell>
        </row>
        <row r="6063">
          <cell r="A6063" t="str">
            <v>2805</v>
          </cell>
        </row>
        <row r="6064">
          <cell r="A6064" t="str">
            <v>2806</v>
          </cell>
        </row>
        <row r="6065">
          <cell r="A6065" t="str">
            <v>2807</v>
          </cell>
        </row>
        <row r="6066">
          <cell r="A6066" t="str">
            <v>2808</v>
          </cell>
        </row>
        <row r="6067">
          <cell r="A6067" t="str">
            <v>2809</v>
          </cell>
        </row>
        <row r="6068">
          <cell r="A6068" t="str">
            <v>280A</v>
          </cell>
        </row>
        <row r="6069">
          <cell r="A6069" t="str">
            <v>280B</v>
          </cell>
        </row>
        <row r="6070">
          <cell r="A6070" t="str">
            <v>2810</v>
          </cell>
        </row>
        <row r="6071">
          <cell r="A6071" t="str">
            <v>2811</v>
          </cell>
        </row>
        <row r="6072">
          <cell r="A6072" t="str">
            <v>2812</v>
          </cell>
        </row>
        <row r="6073">
          <cell r="A6073" t="str">
            <v>2813</v>
          </cell>
        </row>
        <row r="6074">
          <cell r="A6074" t="str">
            <v>2814</v>
          </cell>
        </row>
        <row r="6075">
          <cell r="A6075" t="str">
            <v>2815</v>
          </cell>
        </row>
        <row r="6076">
          <cell r="A6076" t="str">
            <v>2816</v>
          </cell>
        </row>
        <row r="6077">
          <cell r="A6077" t="str">
            <v>2817</v>
          </cell>
        </row>
        <row r="6078">
          <cell r="A6078" t="str">
            <v>2818</v>
          </cell>
        </row>
        <row r="6079">
          <cell r="A6079" t="str">
            <v>2819</v>
          </cell>
        </row>
        <row r="6080">
          <cell r="A6080" t="str">
            <v>281A</v>
          </cell>
        </row>
        <row r="6081">
          <cell r="A6081" t="str">
            <v>281B</v>
          </cell>
        </row>
        <row r="6082">
          <cell r="A6082" t="str">
            <v>281C</v>
          </cell>
        </row>
        <row r="6083">
          <cell r="A6083" t="str">
            <v>281D</v>
          </cell>
        </row>
        <row r="6084">
          <cell r="A6084" t="str">
            <v>281E</v>
          </cell>
        </row>
        <row r="6085">
          <cell r="A6085" t="str">
            <v>281F</v>
          </cell>
        </row>
        <row r="6086">
          <cell r="A6086" t="str">
            <v>2820</v>
          </cell>
        </row>
        <row r="6087">
          <cell r="A6087" t="str">
            <v>2821</v>
          </cell>
        </row>
        <row r="6088">
          <cell r="A6088" t="str">
            <v>2822</v>
          </cell>
        </row>
        <row r="6089">
          <cell r="A6089" t="str">
            <v>2823</v>
          </cell>
        </row>
        <row r="6090">
          <cell r="A6090" t="str">
            <v>2824</v>
          </cell>
        </row>
        <row r="6091">
          <cell r="A6091" t="str">
            <v>2825</v>
          </cell>
        </row>
        <row r="6092">
          <cell r="A6092" t="str">
            <v>2826</v>
          </cell>
        </row>
        <row r="6093">
          <cell r="A6093" t="str">
            <v>2827</v>
          </cell>
        </row>
        <row r="6094">
          <cell r="A6094" t="str">
            <v>2828</v>
          </cell>
        </row>
        <row r="6095">
          <cell r="A6095" t="str">
            <v>2829</v>
          </cell>
        </row>
        <row r="6096">
          <cell r="A6096" t="str">
            <v>282A</v>
          </cell>
        </row>
        <row r="6097">
          <cell r="A6097" t="str">
            <v>282B</v>
          </cell>
        </row>
        <row r="6098">
          <cell r="A6098" t="str">
            <v>282C</v>
          </cell>
        </row>
        <row r="6099">
          <cell r="A6099" t="str">
            <v>282D</v>
          </cell>
        </row>
        <row r="6100">
          <cell r="A6100" t="str">
            <v>282E</v>
          </cell>
        </row>
        <row r="6101">
          <cell r="A6101" t="str">
            <v>282F</v>
          </cell>
        </row>
        <row r="6102">
          <cell r="A6102" t="str">
            <v>2830</v>
          </cell>
        </row>
        <row r="6103">
          <cell r="A6103" t="str">
            <v>2831</v>
          </cell>
        </row>
        <row r="6104">
          <cell r="A6104" t="str">
            <v>2832</v>
          </cell>
        </row>
        <row r="6105">
          <cell r="A6105" t="str">
            <v>2833</v>
          </cell>
        </row>
        <row r="6106">
          <cell r="A6106" t="str">
            <v>2834</v>
          </cell>
        </row>
        <row r="6107">
          <cell r="A6107" t="str">
            <v>2835</v>
          </cell>
        </row>
        <row r="6108">
          <cell r="A6108" t="str">
            <v>2836</v>
          </cell>
        </row>
        <row r="6109">
          <cell r="A6109" t="str">
            <v>2837</v>
          </cell>
        </row>
        <row r="6110">
          <cell r="A6110" t="str">
            <v>2838</v>
          </cell>
        </row>
        <row r="6111">
          <cell r="A6111" t="str">
            <v>2839</v>
          </cell>
        </row>
        <row r="6112">
          <cell r="A6112" t="str">
            <v>283A</v>
          </cell>
        </row>
        <row r="6113">
          <cell r="A6113" t="str">
            <v>283B</v>
          </cell>
        </row>
        <row r="6114">
          <cell r="A6114" t="str">
            <v>283C</v>
          </cell>
        </row>
        <row r="6115">
          <cell r="A6115" t="str">
            <v>283D</v>
          </cell>
        </row>
        <row r="6116">
          <cell r="A6116" t="str">
            <v>283E</v>
          </cell>
        </row>
        <row r="6117">
          <cell r="A6117" t="str">
            <v>283F</v>
          </cell>
        </row>
        <row r="6118">
          <cell r="A6118" t="str">
            <v>2840</v>
          </cell>
        </row>
        <row r="6119">
          <cell r="A6119" t="str">
            <v>2841</v>
          </cell>
        </row>
        <row r="6120">
          <cell r="A6120" t="str">
            <v>2842</v>
          </cell>
        </row>
        <row r="6121">
          <cell r="A6121" t="str">
            <v>2843</v>
          </cell>
        </row>
        <row r="6122">
          <cell r="A6122" t="str">
            <v>2844</v>
          </cell>
        </row>
        <row r="6123">
          <cell r="A6123" t="str">
            <v>2845</v>
          </cell>
        </row>
        <row r="6124">
          <cell r="A6124" t="str">
            <v>2846</v>
          </cell>
        </row>
        <row r="6125">
          <cell r="A6125" t="str">
            <v>2847</v>
          </cell>
        </row>
        <row r="6126">
          <cell r="A6126" t="str">
            <v>2848</v>
          </cell>
        </row>
        <row r="6127">
          <cell r="A6127" t="str">
            <v>2849</v>
          </cell>
        </row>
        <row r="6128">
          <cell r="A6128" t="str">
            <v>284A</v>
          </cell>
        </row>
        <row r="6129">
          <cell r="A6129" t="str">
            <v>284B</v>
          </cell>
        </row>
        <row r="6130">
          <cell r="A6130" t="str">
            <v>284C</v>
          </cell>
        </row>
        <row r="6131">
          <cell r="A6131" t="str">
            <v>284D</v>
          </cell>
        </row>
        <row r="6132">
          <cell r="A6132" t="str">
            <v>284E</v>
          </cell>
        </row>
        <row r="6133">
          <cell r="A6133" t="str">
            <v>284F</v>
          </cell>
        </row>
        <row r="6134">
          <cell r="A6134" t="str">
            <v>2850</v>
          </cell>
        </row>
        <row r="6135">
          <cell r="A6135" t="str">
            <v>2851</v>
          </cell>
        </row>
        <row r="6136">
          <cell r="A6136" t="str">
            <v>2852</v>
          </cell>
        </row>
        <row r="6137">
          <cell r="A6137" t="str">
            <v>2853</v>
          </cell>
        </row>
        <row r="6138">
          <cell r="A6138" t="str">
            <v>2854</v>
          </cell>
        </row>
        <row r="6139">
          <cell r="A6139" t="str">
            <v>2855</v>
          </cell>
        </row>
        <row r="6140">
          <cell r="A6140" t="str">
            <v>2856</v>
          </cell>
        </row>
        <row r="6141">
          <cell r="A6141" t="str">
            <v>2857</v>
          </cell>
        </row>
        <row r="6142">
          <cell r="A6142" t="str">
            <v>2858</v>
          </cell>
        </row>
        <row r="6143">
          <cell r="A6143" t="str">
            <v>2859</v>
          </cell>
        </row>
        <row r="6144">
          <cell r="A6144" t="str">
            <v>285A</v>
          </cell>
        </row>
        <row r="6145">
          <cell r="A6145" t="str">
            <v>285B</v>
          </cell>
        </row>
        <row r="6146">
          <cell r="A6146" t="str">
            <v>285C</v>
          </cell>
        </row>
        <row r="6147">
          <cell r="A6147" t="str">
            <v>285D</v>
          </cell>
        </row>
        <row r="6148">
          <cell r="A6148" t="str">
            <v>285E</v>
          </cell>
        </row>
        <row r="6149">
          <cell r="A6149" t="str">
            <v>285F</v>
          </cell>
        </row>
        <row r="6150">
          <cell r="A6150" t="str">
            <v>2860</v>
          </cell>
        </row>
        <row r="6151">
          <cell r="A6151" t="str">
            <v>2861</v>
          </cell>
        </row>
        <row r="6152">
          <cell r="A6152" t="str">
            <v>2862</v>
          </cell>
        </row>
        <row r="6153">
          <cell r="A6153" t="str">
            <v>2863</v>
          </cell>
        </row>
        <row r="6154">
          <cell r="A6154" t="str">
            <v>2864</v>
          </cell>
        </row>
        <row r="6155">
          <cell r="A6155" t="str">
            <v>2865</v>
          </cell>
        </row>
        <row r="6156">
          <cell r="A6156" t="str">
            <v>2866</v>
          </cell>
        </row>
        <row r="6157">
          <cell r="A6157" t="str">
            <v>2867</v>
          </cell>
        </row>
        <row r="6158">
          <cell r="A6158" t="str">
            <v>2868</v>
          </cell>
        </row>
        <row r="6159">
          <cell r="A6159" t="str">
            <v>2869</v>
          </cell>
        </row>
        <row r="6160">
          <cell r="A6160" t="str">
            <v>286A</v>
          </cell>
        </row>
        <row r="6161">
          <cell r="A6161" t="str">
            <v>286B</v>
          </cell>
        </row>
        <row r="6162">
          <cell r="A6162" t="str">
            <v>286C</v>
          </cell>
        </row>
        <row r="6163">
          <cell r="A6163" t="str">
            <v>286D</v>
          </cell>
        </row>
        <row r="6164">
          <cell r="A6164" t="str">
            <v>286E</v>
          </cell>
        </row>
        <row r="6165">
          <cell r="A6165" t="str">
            <v>286F</v>
          </cell>
        </row>
        <row r="6166">
          <cell r="A6166" t="str">
            <v>2870</v>
          </cell>
        </row>
        <row r="6167">
          <cell r="A6167" t="str">
            <v>2871</v>
          </cell>
        </row>
        <row r="6168">
          <cell r="A6168" t="str">
            <v>2872</v>
          </cell>
        </row>
        <row r="6169">
          <cell r="A6169" t="str">
            <v>2873</v>
          </cell>
        </row>
        <row r="6170">
          <cell r="A6170" t="str">
            <v>2874</v>
          </cell>
        </row>
        <row r="6171">
          <cell r="A6171" t="str">
            <v>2875</v>
          </cell>
        </row>
        <row r="6172">
          <cell r="A6172" t="str">
            <v>2876</v>
          </cell>
        </row>
        <row r="6173">
          <cell r="A6173" t="str">
            <v>2877</v>
          </cell>
        </row>
        <row r="6174">
          <cell r="A6174" t="str">
            <v>2878</v>
          </cell>
        </row>
        <row r="6175">
          <cell r="A6175" t="str">
            <v>2879</v>
          </cell>
        </row>
        <row r="6176">
          <cell r="A6176" t="str">
            <v>287A</v>
          </cell>
        </row>
        <row r="6177">
          <cell r="A6177" t="str">
            <v>287B</v>
          </cell>
        </row>
        <row r="6178">
          <cell r="A6178" t="str">
            <v>2A00</v>
          </cell>
        </row>
        <row r="6179">
          <cell r="A6179" t="str">
            <v>2A01</v>
          </cell>
        </row>
        <row r="6180">
          <cell r="A6180" t="str">
            <v>2A02</v>
          </cell>
        </row>
        <row r="6181">
          <cell r="A6181" t="str">
            <v>2A03</v>
          </cell>
        </row>
        <row r="6182">
          <cell r="A6182" t="str">
            <v>2A04</v>
          </cell>
        </row>
        <row r="6183">
          <cell r="A6183" t="str">
            <v>2A05</v>
          </cell>
        </row>
        <row r="6184">
          <cell r="A6184" t="str">
            <v>2A06</v>
          </cell>
        </row>
        <row r="6185">
          <cell r="A6185" t="str">
            <v>2A07</v>
          </cell>
        </row>
        <row r="6186">
          <cell r="A6186" t="str">
            <v>2A08</v>
          </cell>
        </row>
        <row r="6187">
          <cell r="A6187" t="str">
            <v>2A09</v>
          </cell>
        </row>
        <row r="6188">
          <cell r="A6188" t="str">
            <v>2A10</v>
          </cell>
        </row>
        <row r="6189">
          <cell r="A6189" t="str">
            <v>2A11</v>
          </cell>
        </row>
        <row r="6190">
          <cell r="A6190" t="str">
            <v>2BA7</v>
          </cell>
        </row>
        <row r="6191">
          <cell r="A6191" t="str">
            <v>2BA8</v>
          </cell>
        </row>
        <row r="6192">
          <cell r="A6192" t="str">
            <v>2BA9</v>
          </cell>
        </row>
        <row r="6193">
          <cell r="A6193" t="str">
            <v>2BAA</v>
          </cell>
        </row>
        <row r="6194">
          <cell r="A6194" t="str">
            <v>2BAB</v>
          </cell>
        </row>
        <row r="6195">
          <cell r="A6195" t="str">
            <v>2BAC</v>
          </cell>
        </row>
        <row r="6196">
          <cell r="A6196" t="str">
            <v>2BAD</v>
          </cell>
        </row>
        <row r="6197">
          <cell r="A6197" t="str">
            <v>2BAE</v>
          </cell>
        </row>
        <row r="6198">
          <cell r="A6198" t="str">
            <v>3400</v>
          </cell>
        </row>
        <row r="6199">
          <cell r="A6199" t="str">
            <v>3401</v>
          </cell>
        </row>
        <row r="6200">
          <cell r="A6200" t="str">
            <v>3402</v>
          </cell>
        </row>
        <row r="6201">
          <cell r="A6201" t="str">
            <v>3403</v>
          </cell>
        </row>
        <row r="6202">
          <cell r="A6202" t="str">
            <v>3404</v>
          </cell>
        </row>
        <row r="6203">
          <cell r="A6203" t="str">
            <v>3405</v>
          </cell>
        </row>
        <row r="6204">
          <cell r="A6204" t="str">
            <v>3406</v>
          </cell>
        </row>
        <row r="6205">
          <cell r="A6205" t="str">
            <v>3407</v>
          </cell>
        </row>
        <row r="6206">
          <cell r="A6206" t="str">
            <v>3408</v>
          </cell>
        </row>
        <row r="6207">
          <cell r="A6207" t="str">
            <v>3409</v>
          </cell>
        </row>
        <row r="6208">
          <cell r="A6208" t="str">
            <v>340A</v>
          </cell>
        </row>
        <row r="6209">
          <cell r="A6209" t="str">
            <v>340B</v>
          </cell>
        </row>
        <row r="6210">
          <cell r="A6210" t="str">
            <v>340C</v>
          </cell>
        </row>
        <row r="6211">
          <cell r="A6211" t="str">
            <v>340D</v>
          </cell>
        </row>
        <row r="6212">
          <cell r="A6212" t="str">
            <v>3410</v>
          </cell>
        </row>
        <row r="6213">
          <cell r="A6213" t="str">
            <v>3411</v>
          </cell>
        </row>
        <row r="6214">
          <cell r="A6214" t="str">
            <v>3412</v>
          </cell>
        </row>
        <row r="6215">
          <cell r="A6215" t="str">
            <v>3413</v>
          </cell>
        </row>
        <row r="6216">
          <cell r="A6216" t="str">
            <v>3414</v>
          </cell>
        </row>
        <row r="6217">
          <cell r="A6217" t="str">
            <v>3415</v>
          </cell>
        </row>
        <row r="6218">
          <cell r="A6218" t="str">
            <v>3416</v>
          </cell>
        </row>
        <row r="6219">
          <cell r="A6219" t="str">
            <v>3417</v>
          </cell>
        </row>
        <row r="6220">
          <cell r="A6220" t="str">
            <v>3418</v>
          </cell>
        </row>
        <row r="6221">
          <cell r="A6221" t="str">
            <v>3419</v>
          </cell>
        </row>
        <row r="6222">
          <cell r="A6222" t="str">
            <v>341A</v>
          </cell>
        </row>
        <row r="6223">
          <cell r="A6223" t="str">
            <v>341B</v>
          </cell>
        </row>
        <row r="6224">
          <cell r="A6224" t="str">
            <v>341C</v>
          </cell>
        </row>
        <row r="6225">
          <cell r="A6225" t="str">
            <v>341D</v>
          </cell>
        </row>
        <row r="6226">
          <cell r="A6226" t="str">
            <v>3420</v>
          </cell>
        </row>
        <row r="6227">
          <cell r="A6227" t="str">
            <v>3421</v>
          </cell>
        </row>
        <row r="6228">
          <cell r="A6228" t="str">
            <v>3422</v>
          </cell>
        </row>
        <row r="6229">
          <cell r="A6229" t="str">
            <v>3423</v>
          </cell>
        </row>
        <row r="6230">
          <cell r="A6230" t="str">
            <v>3424</v>
          </cell>
        </row>
        <row r="6231">
          <cell r="A6231" t="str">
            <v>3425</v>
          </cell>
        </row>
        <row r="6232">
          <cell r="A6232" t="str">
            <v>3426</v>
          </cell>
        </row>
        <row r="6233">
          <cell r="A6233" t="str">
            <v>3427</v>
          </cell>
        </row>
        <row r="6234">
          <cell r="A6234" t="str">
            <v>3428</v>
          </cell>
        </row>
        <row r="6235">
          <cell r="A6235" t="str">
            <v>3429</v>
          </cell>
        </row>
        <row r="6236">
          <cell r="A6236" t="str">
            <v>3430</v>
          </cell>
        </row>
        <row r="6237">
          <cell r="A6237" t="str">
            <v>3431</v>
          </cell>
        </row>
        <row r="6238">
          <cell r="A6238" t="str">
            <v>3432</v>
          </cell>
        </row>
        <row r="6239">
          <cell r="A6239" t="str">
            <v>3433</v>
          </cell>
        </row>
        <row r="6240">
          <cell r="A6240" t="str">
            <v>3434</v>
          </cell>
        </row>
        <row r="6241">
          <cell r="A6241" t="str">
            <v>3435</v>
          </cell>
        </row>
        <row r="6242">
          <cell r="A6242" t="str">
            <v>3436</v>
          </cell>
        </row>
        <row r="6243">
          <cell r="A6243" t="str">
            <v>3437</v>
          </cell>
        </row>
        <row r="6244">
          <cell r="A6244" t="str">
            <v>3438</v>
          </cell>
        </row>
        <row r="6245">
          <cell r="A6245" t="str">
            <v>3439</v>
          </cell>
        </row>
        <row r="6246">
          <cell r="A6246" t="str">
            <v>3440</v>
          </cell>
        </row>
        <row r="6247">
          <cell r="A6247" t="str">
            <v>3441</v>
          </cell>
        </row>
        <row r="6248">
          <cell r="A6248" t="str">
            <v>3442</v>
          </cell>
        </row>
        <row r="6249">
          <cell r="A6249" t="str">
            <v>3443</v>
          </cell>
        </row>
        <row r="6250">
          <cell r="A6250" t="str">
            <v>3444</v>
          </cell>
        </row>
        <row r="6251">
          <cell r="A6251" t="str">
            <v>3445</v>
          </cell>
        </row>
        <row r="6252">
          <cell r="A6252" t="str">
            <v>3446</v>
          </cell>
        </row>
        <row r="6253">
          <cell r="A6253" t="str">
            <v>3447</v>
          </cell>
        </row>
        <row r="6254">
          <cell r="A6254" t="str">
            <v>3448</v>
          </cell>
        </row>
        <row r="6255">
          <cell r="A6255" t="str">
            <v>3449</v>
          </cell>
        </row>
        <row r="6256">
          <cell r="A6256" t="str">
            <v>3450</v>
          </cell>
        </row>
        <row r="6257">
          <cell r="A6257" t="str">
            <v>3451</v>
          </cell>
        </row>
        <row r="6258">
          <cell r="A6258" t="str">
            <v>3452</v>
          </cell>
        </row>
        <row r="6259">
          <cell r="A6259" t="str">
            <v>3453</v>
          </cell>
        </row>
        <row r="6260">
          <cell r="A6260" t="str">
            <v>3454</v>
          </cell>
        </row>
        <row r="6261">
          <cell r="A6261" t="str">
            <v>3455</v>
          </cell>
        </row>
        <row r="6262">
          <cell r="A6262" t="str">
            <v>3456</v>
          </cell>
        </row>
        <row r="6263">
          <cell r="A6263" t="str">
            <v>3457</v>
          </cell>
        </row>
        <row r="6264">
          <cell r="A6264" t="str">
            <v>3458</v>
          </cell>
        </row>
        <row r="6265">
          <cell r="A6265" t="str">
            <v>3459</v>
          </cell>
        </row>
        <row r="6266">
          <cell r="A6266" t="str">
            <v>3460</v>
          </cell>
        </row>
        <row r="6267">
          <cell r="A6267" t="str">
            <v>3461</v>
          </cell>
        </row>
        <row r="6268">
          <cell r="A6268" t="str">
            <v>3462</v>
          </cell>
        </row>
        <row r="6269">
          <cell r="A6269" t="str">
            <v>3463</v>
          </cell>
        </row>
        <row r="6270">
          <cell r="A6270" t="str">
            <v>3464</v>
          </cell>
        </row>
        <row r="6271">
          <cell r="A6271" t="str">
            <v>3465</v>
          </cell>
        </row>
        <row r="6272">
          <cell r="A6272" t="str">
            <v>3466</v>
          </cell>
        </row>
        <row r="6273">
          <cell r="A6273" t="str">
            <v>3467</v>
          </cell>
        </row>
        <row r="6274">
          <cell r="A6274" t="str">
            <v>3468</v>
          </cell>
        </row>
        <row r="6275">
          <cell r="A6275" t="str">
            <v>3469</v>
          </cell>
        </row>
        <row r="6276">
          <cell r="A6276" t="str">
            <v>3470</v>
          </cell>
        </row>
        <row r="6277">
          <cell r="A6277" t="str">
            <v>3471</v>
          </cell>
        </row>
        <row r="6278">
          <cell r="A6278" t="str">
            <v>3472</v>
          </cell>
        </row>
        <row r="6279">
          <cell r="A6279" t="str">
            <v>3473</v>
          </cell>
        </row>
        <row r="6280">
          <cell r="A6280" t="str">
            <v>3474</v>
          </cell>
        </row>
        <row r="6281">
          <cell r="A6281" t="str">
            <v>3475</v>
          </cell>
        </row>
        <row r="6282">
          <cell r="A6282" t="str">
            <v>3476</v>
          </cell>
        </row>
        <row r="6283">
          <cell r="A6283" t="str">
            <v>3477</v>
          </cell>
        </row>
        <row r="6284">
          <cell r="A6284" t="str">
            <v>3478</v>
          </cell>
        </row>
        <row r="6285">
          <cell r="A6285" t="str">
            <v>3479</v>
          </cell>
        </row>
        <row r="6286">
          <cell r="A6286" t="str">
            <v>3480</v>
          </cell>
        </row>
        <row r="6287">
          <cell r="A6287" t="str">
            <v>3481</v>
          </cell>
        </row>
        <row r="6288">
          <cell r="A6288" t="str">
            <v>3482</v>
          </cell>
        </row>
        <row r="6289">
          <cell r="A6289" t="str">
            <v>3483</v>
          </cell>
        </row>
        <row r="6290">
          <cell r="A6290" t="str">
            <v>3484</v>
          </cell>
        </row>
        <row r="6291">
          <cell r="A6291" t="str">
            <v>3485</v>
          </cell>
        </row>
        <row r="6292">
          <cell r="A6292" t="str">
            <v>3486</v>
          </cell>
        </row>
        <row r="6293">
          <cell r="A6293" t="str">
            <v>3487</v>
          </cell>
        </row>
        <row r="6294">
          <cell r="A6294" t="str">
            <v>3488</v>
          </cell>
        </row>
        <row r="6295">
          <cell r="A6295" t="str">
            <v>3489</v>
          </cell>
        </row>
        <row r="6296">
          <cell r="A6296" t="str">
            <v>3490</v>
          </cell>
        </row>
        <row r="6297">
          <cell r="A6297" t="str">
            <v>3491</v>
          </cell>
        </row>
        <row r="6298">
          <cell r="A6298" t="str">
            <v>3492</v>
          </cell>
        </row>
        <row r="6299">
          <cell r="A6299" t="str">
            <v>3493</v>
          </cell>
        </row>
        <row r="6300">
          <cell r="A6300" t="str">
            <v>3494</v>
          </cell>
        </row>
        <row r="6301">
          <cell r="A6301" t="str">
            <v>3495</v>
          </cell>
        </row>
        <row r="6302">
          <cell r="A6302" t="str">
            <v>3496</v>
          </cell>
        </row>
        <row r="6303">
          <cell r="A6303" t="str">
            <v>3497</v>
          </cell>
        </row>
        <row r="6304">
          <cell r="A6304" t="str">
            <v>3498</v>
          </cell>
        </row>
        <row r="6305">
          <cell r="A6305" t="str">
            <v>3499</v>
          </cell>
        </row>
        <row r="6306">
          <cell r="A6306" t="str">
            <v>349A</v>
          </cell>
        </row>
        <row r="6307">
          <cell r="A6307" t="str">
            <v>349B</v>
          </cell>
        </row>
        <row r="6308">
          <cell r="A6308" t="str">
            <v>349C</v>
          </cell>
        </row>
        <row r="6309">
          <cell r="A6309" t="str">
            <v>349D</v>
          </cell>
        </row>
        <row r="6310">
          <cell r="A6310" t="str">
            <v>349E</v>
          </cell>
        </row>
        <row r="6311">
          <cell r="A6311" t="str">
            <v>349F</v>
          </cell>
        </row>
        <row r="6312">
          <cell r="A6312" t="str">
            <v>34A0</v>
          </cell>
        </row>
        <row r="6313">
          <cell r="A6313" t="str">
            <v>34A1</v>
          </cell>
        </row>
        <row r="6314">
          <cell r="A6314" t="str">
            <v>34A2</v>
          </cell>
        </row>
        <row r="6315">
          <cell r="A6315" t="str">
            <v>34A3</v>
          </cell>
        </row>
        <row r="6316">
          <cell r="A6316" t="str">
            <v>4001</v>
          </cell>
        </row>
        <row r="6317">
          <cell r="A6317" t="str">
            <v>4002</v>
          </cell>
        </row>
        <row r="6318">
          <cell r="A6318" t="str">
            <v>4003</v>
          </cell>
        </row>
        <row r="6319">
          <cell r="A6319" t="str">
            <v>4004</v>
          </cell>
        </row>
        <row r="6320">
          <cell r="A6320" t="str">
            <v>4010</v>
          </cell>
        </row>
        <row r="6321">
          <cell r="A6321" t="str">
            <v>4011</v>
          </cell>
        </row>
        <row r="6322">
          <cell r="A6322" t="str">
            <v>4012</v>
          </cell>
        </row>
        <row r="6323">
          <cell r="A6323" t="str">
            <v>4014</v>
          </cell>
        </row>
        <row r="6324">
          <cell r="A6324" t="str">
            <v>4015</v>
          </cell>
        </row>
        <row r="6325">
          <cell r="A6325" t="str">
            <v>4016</v>
          </cell>
        </row>
        <row r="6326">
          <cell r="A6326" t="str">
            <v>4018</v>
          </cell>
        </row>
        <row r="6327">
          <cell r="A6327" t="str">
            <v>4019</v>
          </cell>
        </row>
        <row r="6328">
          <cell r="A6328" t="str">
            <v>401A</v>
          </cell>
        </row>
        <row r="6329">
          <cell r="A6329" t="str">
            <v>401C</v>
          </cell>
        </row>
        <row r="6330">
          <cell r="A6330" t="str">
            <v>401D</v>
          </cell>
        </row>
        <row r="6331">
          <cell r="A6331" t="str">
            <v>401E</v>
          </cell>
        </row>
        <row r="6332">
          <cell r="A6332" t="str">
            <v>4020</v>
          </cell>
        </row>
        <row r="6333">
          <cell r="A6333" t="str">
            <v>4021</v>
          </cell>
        </row>
        <row r="6334">
          <cell r="A6334" t="str">
            <v>4022</v>
          </cell>
        </row>
        <row r="6335">
          <cell r="A6335" t="str">
            <v>4023</v>
          </cell>
        </row>
        <row r="6336">
          <cell r="A6336" t="str">
            <v>4030</v>
          </cell>
        </row>
        <row r="6337">
          <cell r="A6337" t="str">
            <v>4031</v>
          </cell>
        </row>
        <row r="6338">
          <cell r="A6338" t="str">
            <v>4032</v>
          </cell>
        </row>
        <row r="6339">
          <cell r="A6339" t="str">
            <v>4033</v>
          </cell>
        </row>
        <row r="6340">
          <cell r="A6340" t="str">
            <v>4034</v>
          </cell>
        </row>
        <row r="6341">
          <cell r="A6341" t="str">
            <v>4035</v>
          </cell>
        </row>
        <row r="6342">
          <cell r="A6342" t="str">
            <v>4036</v>
          </cell>
        </row>
        <row r="6343">
          <cell r="A6343" t="str">
            <v>4037</v>
          </cell>
        </row>
        <row r="6344">
          <cell r="A6344" t="str">
            <v>4038</v>
          </cell>
        </row>
        <row r="6345">
          <cell r="A6345" t="str">
            <v>4039</v>
          </cell>
        </row>
        <row r="6346">
          <cell r="A6346" t="str">
            <v>403A</v>
          </cell>
        </row>
        <row r="6347">
          <cell r="A6347" t="str">
            <v>403B</v>
          </cell>
        </row>
        <row r="6348">
          <cell r="A6348" t="str">
            <v>403C</v>
          </cell>
        </row>
        <row r="6349">
          <cell r="A6349" t="str">
            <v>403D</v>
          </cell>
        </row>
        <row r="6350">
          <cell r="A6350" t="str">
            <v>403E</v>
          </cell>
        </row>
        <row r="6351">
          <cell r="A6351" t="str">
            <v>4040</v>
          </cell>
        </row>
        <row r="6352">
          <cell r="A6352" t="str">
            <v>4041</v>
          </cell>
        </row>
        <row r="6353">
          <cell r="A6353" t="str">
            <v>4042</v>
          </cell>
        </row>
        <row r="6354">
          <cell r="A6354" t="str">
            <v>4043</v>
          </cell>
        </row>
        <row r="6355">
          <cell r="A6355" t="str">
            <v>4044</v>
          </cell>
        </row>
        <row r="6356">
          <cell r="A6356" t="str">
            <v>4045</v>
          </cell>
        </row>
        <row r="6357">
          <cell r="A6357" t="str">
            <v>4046</v>
          </cell>
        </row>
        <row r="6358">
          <cell r="A6358" t="str">
            <v>4047</v>
          </cell>
        </row>
        <row r="6359">
          <cell r="A6359" t="str">
            <v>4048</v>
          </cell>
        </row>
        <row r="6360">
          <cell r="A6360" t="str">
            <v>4049</v>
          </cell>
        </row>
        <row r="6361">
          <cell r="A6361" t="str">
            <v>404A</v>
          </cell>
        </row>
        <row r="6362">
          <cell r="A6362" t="str">
            <v>4051</v>
          </cell>
        </row>
        <row r="6363">
          <cell r="A6363" t="str">
            <v>4052</v>
          </cell>
        </row>
        <row r="6364">
          <cell r="A6364" t="str">
            <v>4053</v>
          </cell>
        </row>
        <row r="6365">
          <cell r="A6365" t="str">
            <v>4054</v>
          </cell>
        </row>
        <row r="6366">
          <cell r="A6366" t="str">
            <v>4055</v>
          </cell>
        </row>
        <row r="6367">
          <cell r="A6367" t="str">
            <v>4061</v>
          </cell>
        </row>
        <row r="6368">
          <cell r="A6368" t="str">
            <v>4062</v>
          </cell>
        </row>
        <row r="6369">
          <cell r="A6369" t="str">
            <v>4063</v>
          </cell>
        </row>
        <row r="6370">
          <cell r="A6370" t="str">
            <v>4064</v>
          </cell>
        </row>
        <row r="6371">
          <cell r="A6371" t="str">
            <v>4065</v>
          </cell>
        </row>
        <row r="6372">
          <cell r="A6372" t="str">
            <v>4069</v>
          </cell>
        </row>
        <row r="6373">
          <cell r="A6373" t="str">
            <v>406A</v>
          </cell>
        </row>
        <row r="6374">
          <cell r="A6374" t="str">
            <v>406B</v>
          </cell>
        </row>
        <row r="6375">
          <cell r="A6375" t="str">
            <v>4071</v>
          </cell>
        </row>
        <row r="6376">
          <cell r="A6376" t="str">
            <v>4072</v>
          </cell>
        </row>
        <row r="6377">
          <cell r="A6377" t="str">
            <v>4073</v>
          </cell>
        </row>
        <row r="6378">
          <cell r="A6378" t="str">
            <v>4074</v>
          </cell>
        </row>
        <row r="6379">
          <cell r="A6379" t="str">
            <v>4075</v>
          </cell>
        </row>
        <row r="6380">
          <cell r="A6380" t="str">
            <v>4076</v>
          </cell>
        </row>
        <row r="6381">
          <cell r="A6381" t="str">
            <v>4077</v>
          </cell>
        </row>
        <row r="6382">
          <cell r="A6382" t="str">
            <v>4078</v>
          </cell>
        </row>
        <row r="6383">
          <cell r="A6383" t="str">
            <v>4079</v>
          </cell>
        </row>
        <row r="6384">
          <cell r="A6384" t="str">
            <v>4081</v>
          </cell>
        </row>
        <row r="6385">
          <cell r="A6385" t="str">
            <v>4082</v>
          </cell>
        </row>
        <row r="6386">
          <cell r="A6386" t="str">
            <v>4083</v>
          </cell>
        </row>
        <row r="6387">
          <cell r="A6387" t="str">
            <v>4084</v>
          </cell>
        </row>
        <row r="6388">
          <cell r="A6388" t="str">
            <v>4085</v>
          </cell>
        </row>
        <row r="6389">
          <cell r="A6389" t="str">
            <v>4086</v>
          </cell>
        </row>
        <row r="6390">
          <cell r="A6390" t="str">
            <v>4089</v>
          </cell>
        </row>
        <row r="6391">
          <cell r="A6391" t="str">
            <v>408A</v>
          </cell>
        </row>
        <row r="6392">
          <cell r="A6392" t="str">
            <v>5000</v>
          </cell>
        </row>
        <row r="6393">
          <cell r="A6393" t="str">
            <v>5001</v>
          </cell>
        </row>
        <row r="6394">
          <cell r="A6394" t="str">
            <v>5002</v>
          </cell>
        </row>
        <row r="6395">
          <cell r="A6395" t="str">
            <v>5003</v>
          </cell>
        </row>
        <row r="6396">
          <cell r="A6396" t="str">
            <v>5004</v>
          </cell>
        </row>
        <row r="6397">
          <cell r="A6397" t="str">
            <v>5005</v>
          </cell>
        </row>
        <row r="6398">
          <cell r="A6398" t="str">
            <v>5006</v>
          </cell>
        </row>
        <row r="6399">
          <cell r="A6399" t="str">
            <v>5007</v>
          </cell>
        </row>
        <row r="6400">
          <cell r="A6400" t="str">
            <v>5008</v>
          </cell>
        </row>
        <row r="6401">
          <cell r="A6401" t="str">
            <v>5009</v>
          </cell>
        </row>
        <row r="6402">
          <cell r="A6402" t="str">
            <v>500A</v>
          </cell>
        </row>
        <row r="6403">
          <cell r="A6403" t="str">
            <v>500B</v>
          </cell>
        </row>
        <row r="6404">
          <cell r="A6404" t="str">
            <v>500C</v>
          </cell>
        </row>
        <row r="6405">
          <cell r="A6405" t="str">
            <v>500D</v>
          </cell>
        </row>
        <row r="6406">
          <cell r="A6406" t="str">
            <v>500E</v>
          </cell>
        </row>
        <row r="6407">
          <cell r="A6407" t="str">
            <v>500F</v>
          </cell>
        </row>
        <row r="6408">
          <cell r="A6408" t="str">
            <v>5010</v>
          </cell>
        </row>
        <row r="6409">
          <cell r="A6409" t="str">
            <v>5011</v>
          </cell>
        </row>
        <row r="6410">
          <cell r="A6410" t="str">
            <v>5012</v>
          </cell>
        </row>
        <row r="6411">
          <cell r="A6411" t="str">
            <v>5013</v>
          </cell>
        </row>
        <row r="6412">
          <cell r="A6412" t="str">
            <v>5014</v>
          </cell>
        </row>
        <row r="6413">
          <cell r="A6413" t="str">
            <v>5015</v>
          </cell>
        </row>
        <row r="6414">
          <cell r="A6414" t="str">
            <v>5016</v>
          </cell>
        </row>
        <row r="6415">
          <cell r="A6415" t="str">
            <v>5017</v>
          </cell>
        </row>
        <row r="6416">
          <cell r="A6416" t="str">
            <v>5018</v>
          </cell>
        </row>
        <row r="6417">
          <cell r="A6417" t="str">
            <v>501A</v>
          </cell>
        </row>
        <row r="6418">
          <cell r="A6418" t="str">
            <v>501B</v>
          </cell>
        </row>
        <row r="6419">
          <cell r="A6419" t="str">
            <v>501C</v>
          </cell>
        </row>
        <row r="6420">
          <cell r="A6420" t="str">
            <v>501D</v>
          </cell>
        </row>
        <row r="6421">
          <cell r="A6421" t="str">
            <v>501E</v>
          </cell>
        </row>
        <row r="6422">
          <cell r="A6422" t="str">
            <v>501F</v>
          </cell>
        </row>
        <row r="6423">
          <cell r="A6423" t="str">
            <v>5020</v>
          </cell>
        </row>
        <row r="6424">
          <cell r="A6424" t="str">
            <v>5021</v>
          </cell>
        </row>
        <row r="6425">
          <cell r="A6425" t="str">
            <v>5022</v>
          </cell>
        </row>
        <row r="6426">
          <cell r="A6426" t="str">
            <v>5023</v>
          </cell>
        </row>
        <row r="6427">
          <cell r="A6427" t="str">
            <v>5024</v>
          </cell>
        </row>
        <row r="6428">
          <cell r="A6428" t="str">
            <v>5025</v>
          </cell>
        </row>
        <row r="6429">
          <cell r="A6429" t="str">
            <v>5026</v>
          </cell>
        </row>
        <row r="6430">
          <cell r="A6430" t="str">
            <v>5027</v>
          </cell>
        </row>
        <row r="6431">
          <cell r="A6431" t="str">
            <v>5028</v>
          </cell>
        </row>
        <row r="6432">
          <cell r="A6432" t="str">
            <v>5029</v>
          </cell>
        </row>
        <row r="6433">
          <cell r="A6433" t="str">
            <v>502A</v>
          </cell>
        </row>
        <row r="6434">
          <cell r="A6434" t="str">
            <v>502B</v>
          </cell>
        </row>
        <row r="6435">
          <cell r="A6435" t="str">
            <v>502C</v>
          </cell>
        </row>
        <row r="6436">
          <cell r="A6436" t="str">
            <v>502D</v>
          </cell>
        </row>
        <row r="6437">
          <cell r="A6437" t="str">
            <v>502E</v>
          </cell>
        </row>
        <row r="6438">
          <cell r="A6438" t="str">
            <v>502F</v>
          </cell>
        </row>
        <row r="6439">
          <cell r="A6439" t="str">
            <v>5030</v>
          </cell>
        </row>
        <row r="6440">
          <cell r="A6440" t="str">
            <v>5031</v>
          </cell>
        </row>
        <row r="6441">
          <cell r="A6441" t="str">
            <v>5032</v>
          </cell>
        </row>
        <row r="6442">
          <cell r="A6442" t="str">
            <v>5033</v>
          </cell>
        </row>
        <row r="6443">
          <cell r="A6443" t="str">
            <v>5034</v>
          </cell>
        </row>
        <row r="6444">
          <cell r="A6444" t="str">
            <v>5035</v>
          </cell>
        </row>
        <row r="6445">
          <cell r="A6445" t="str">
            <v>5036</v>
          </cell>
        </row>
        <row r="6446">
          <cell r="A6446" t="str">
            <v>5037</v>
          </cell>
        </row>
        <row r="6447">
          <cell r="A6447" t="str">
            <v>5038</v>
          </cell>
        </row>
        <row r="6448">
          <cell r="A6448" t="str">
            <v>5104</v>
          </cell>
        </row>
        <row r="6449">
          <cell r="A6449" t="str">
            <v>5105</v>
          </cell>
        </row>
        <row r="6450">
          <cell r="A6450" t="str">
            <v>5108</v>
          </cell>
        </row>
        <row r="6451">
          <cell r="A6451" t="str">
            <v>5109</v>
          </cell>
        </row>
        <row r="6452">
          <cell r="A6452" t="str">
            <v>510A</v>
          </cell>
        </row>
        <row r="6453">
          <cell r="A6453" t="str">
            <v>510B</v>
          </cell>
        </row>
        <row r="6454">
          <cell r="A6454" t="str">
            <v>510C</v>
          </cell>
        </row>
        <row r="6455">
          <cell r="A6455" t="str">
            <v>510D</v>
          </cell>
        </row>
        <row r="6456">
          <cell r="A6456" t="str">
            <v>510E</v>
          </cell>
        </row>
        <row r="6457">
          <cell r="A6457" t="str">
            <v>510F</v>
          </cell>
        </row>
        <row r="6458">
          <cell r="A6458" t="str">
            <v>5110</v>
          </cell>
        </row>
        <row r="6459">
          <cell r="A6459" t="str">
            <v>5111</v>
          </cell>
        </row>
        <row r="6460">
          <cell r="A6460" t="str">
            <v>5112</v>
          </cell>
        </row>
        <row r="6461">
          <cell r="A6461" t="str">
            <v>5113</v>
          </cell>
        </row>
        <row r="6462">
          <cell r="A6462" t="str">
            <v>5114</v>
          </cell>
        </row>
        <row r="6463">
          <cell r="A6463" t="str">
            <v>5115</v>
          </cell>
        </row>
        <row r="6464">
          <cell r="A6464" t="str">
            <v>5116</v>
          </cell>
        </row>
        <row r="6465">
          <cell r="A6465" t="str">
            <v>5117</v>
          </cell>
        </row>
        <row r="6466">
          <cell r="A6466" t="str">
            <v>5118</v>
          </cell>
        </row>
        <row r="6467">
          <cell r="A6467" t="str">
            <v>5119</v>
          </cell>
        </row>
        <row r="6468">
          <cell r="A6468" t="str">
            <v>511A</v>
          </cell>
        </row>
        <row r="6469">
          <cell r="A6469" t="str">
            <v>511B</v>
          </cell>
        </row>
        <row r="6470">
          <cell r="A6470" t="str">
            <v>511C</v>
          </cell>
        </row>
        <row r="6471">
          <cell r="A6471" t="str">
            <v>511D</v>
          </cell>
        </row>
        <row r="6472">
          <cell r="A6472" t="str">
            <v>511E</v>
          </cell>
        </row>
        <row r="6473">
          <cell r="A6473" t="str">
            <v>511F</v>
          </cell>
        </row>
        <row r="6474">
          <cell r="A6474" t="str">
            <v>5120</v>
          </cell>
        </row>
        <row r="6475">
          <cell r="A6475" t="str">
            <v>5121</v>
          </cell>
        </row>
        <row r="6476">
          <cell r="A6476" t="str">
            <v>5122</v>
          </cell>
        </row>
        <row r="6477">
          <cell r="A6477" t="str">
            <v>5123</v>
          </cell>
        </row>
        <row r="6478">
          <cell r="A6478" t="str">
            <v>5124</v>
          </cell>
        </row>
        <row r="6479">
          <cell r="A6479" t="str">
            <v>5125</v>
          </cell>
        </row>
        <row r="6480">
          <cell r="A6480" t="str">
            <v>5126</v>
          </cell>
        </row>
        <row r="6481">
          <cell r="A6481" t="str">
            <v>5127</v>
          </cell>
        </row>
        <row r="6482">
          <cell r="A6482" t="str">
            <v>5128</v>
          </cell>
        </row>
        <row r="6483">
          <cell r="A6483" t="str">
            <v>5129</v>
          </cell>
        </row>
        <row r="6484">
          <cell r="A6484" t="str">
            <v>512A</v>
          </cell>
        </row>
        <row r="6485">
          <cell r="A6485" t="str">
            <v>512B</v>
          </cell>
        </row>
        <row r="6486">
          <cell r="A6486" t="str">
            <v>512C</v>
          </cell>
        </row>
        <row r="6487">
          <cell r="A6487" t="str">
            <v>512D</v>
          </cell>
        </row>
        <row r="6488">
          <cell r="A6488" t="str">
            <v>512E</v>
          </cell>
        </row>
        <row r="6489">
          <cell r="A6489" t="str">
            <v>512F</v>
          </cell>
        </row>
        <row r="6490">
          <cell r="A6490" t="str">
            <v>5130</v>
          </cell>
        </row>
        <row r="6491">
          <cell r="A6491" t="str">
            <v>5131</v>
          </cell>
        </row>
        <row r="6492">
          <cell r="A6492" t="str">
            <v>5132</v>
          </cell>
        </row>
        <row r="6493">
          <cell r="A6493" t="str">
            <v>5133</v>
          </cell>
        </row>
        <row r="6494">
          <cell r="A6494" t="str">
            <v>5134</v>
          </cell>
        </row>
        <row r="6495">
          <cell r="A6495" t="str">
            <v>5135</v>
          </cell>
        </row>
        <row r="6496">
          <cell r="A6496" t="str">
            <v>5136</v>
          </cell>
        </row>
        <row r="6497">
          <cell r="A6497" t="str">
            <v>5137</v>
          </cell>
        </row>
        <row r="6498">
          <cell r="A6498" t="str">
            <v>5138</v>
          </cell>
        </row>
        <row r="6499">
          <cell r="A6499" t="str">
            <v>5139</v>
          </cell>
        </row>
        <row r="6500">
          <cell r="A6500" t="str">
            <v>513A</v>
          </cell>
        </row>
        <row r="6501">
          <cell r="A6501" t="str">
            <v>5160</v>
          </cell>
        </row>
        <row r="6502">
          <cell r="A6502" t="str">
            <v>5979</v>
          </cell>
        </row>
        <row r="6503">
          <cell r="A6503" t="str">
            <v>5A01</v>
          </cell>
        </row>
        <row r="6504">
          <cell r="A6504" t="str">
            <v>5A02</v>
          </cell>
        </row>
        <row r="6505">
          <cell r="A6505" t="str">
            <v>5A03</v>
          </cell>
        </row>
        <row r="6506">
          <cell r="A6506" t="str">
            <v>5A04</v>
          </cell>
        </row>
        <row r="6507">
          <cell r="A6507" t="str">
            <v>5A05</v>
          </cell>
        </row>
        <row r="6508">
          <cell r="A6508" t="str">
            <v>5A06</v>
          </cell>
        </row>
        <row r="6509">
          <cell r="A6509" t="str">
            <v>5A07</v>
          </cell>
        </row>
        <row r="6510">
          <cell r="A6510" t="str">
            <v>5A08</v>
          </cell>
        </row>
        <row r="6511">
          <cell r="A6511" t="str">
            <v>5A10</v>
          </cell>
        </row>
        <row r="6512">
          <cell r="A6512" t="str">
            <v>5A11</v>
          </cell>
        </row>
        <row r="6513">
          <cell r="A6513" t="str">
            <v>5A13</v>
          </cell>
        </row>
        <row r="6514">
          <cell r="A6514" t="str">
            <v>5A18</v>
          </cell>
        </row>
        <row r="6515">
          <cell r="A6515" t="str">
            <v>5A20</v>
          </cell>
        </row>
        <row r="6516">
          <cell r="A6516" t="str">
            <v>5A24</v>
          </cell>
        </row>
        <row r="6517">
          <cell r="A6517" t="str">
            <v>5A27</v>
          </cell>
        </row>
        <row r="6518">
          <cell r="A6518" t="str">
            <v>5A28</v>
          </cell>
        </row>
        <row r="6519">
          <cell r="A6519" t="str">
            <v>5A29</v>
          </cell>
        </row>
        <row r="6520">
          <cell r="A6520" t="str">
            <v>5A30</v>
          </cell>
        </row>
        <row r="6521">
          <cell r="A6521" t="str">
            <v>5A31</v>
          </cell>
        </row>
        <row r="6522">
          <cell r="A6522" t="str">
            <v>5A32</v>
          </cell>
        </row>
        <row r="6523">
          <cell r="A6523" t="str">
            <v>5A33</v>
          </cell>
        </row>
        <row r="6524">
          <cell r="A6524" t="str">
            <v>5A34</v>
          </cell>
        </row>
        <row r="6525">
          <cell r="A6525" t="str">
            <v>5A35</v>
          </cell>
        </row>
        <row r="6526">
          <cell r="A6526" t="str">
            <v>5A36</v>
          </cell>
        </row>
        <row r="6527">
          <cell r="A6527" t="str">
            <v>5A37</v>
          </cell>
        </row>
        <row r="6528">
          <cell r="A6528" t="str">
            <v>5A38</v>
          </cell>
        </row>
        <row r="6529">
          <cell r="A6529" t="str">
            <v>5A41</v>
          </cell>
        </row>
        <row r="6530">
          <cell r="A6530" t="str">
            <v>5A43</v>
          </cell>
        </row>
        <row r="6531">
          <cell r="A6531" t="str">
            <v>5A47</v>
          </cell>
        </row>
        <row r="6532">
          <cell r="A6532" t="str">
            <v>5A48</v>
          </cell>
        </row>
        <row r="6533">
          <cell r="A6533" t="str">
            <v>5A53</v>
          </cell>
        </row>
        <row r="6534">
          <cell r="A6534" t="str">
            <v>5A56</v>
          </cell>
        </row>
        <row r="6535">
          <cell r="A6535" t="str">
            <v>5A57</v>
          </cell>
        </row>
        <row r="6536">
          <cell r="A6536" t="str">
            <v>5A58</v>
          </cell>
        </row>
        <row r="6537">
          <cell r="A6537" t="str">
            <v>5A59</v>
          </cell>
        </row>
        <row r="6538">
          <cell r="A6538" t="str">
            <v>5A60</v>
          </cell>
        </row>
        <row r="6539">
          <cell r="A6539" t="str">
            <v>5A61</v>
          </cell>
        </row>
        <row r="6540">
          <cell r="A6540" t="str">
            <v>5A62</v>
          </cell>
        </row>
        <row r="6541">
          <cell r="A6541" t="str">
            <v>5A63</v>
          </cell>
        </row>
        <row r="6542">
          <cell r="A6542" t="str">
            <v>5A64</v>
          </cell>
        </row>
        <row r="6543">
          <cell r="A6543" t="str">
            <v>5A67</v>
          </cell>
        </row>
        <row r="6544">
          <cell r="A6544" t="str">
            <v>5A68</v>
          </cell>
        </row>
        <row r="6545">
          <cell r="A6545" t="str">
            <v>5A69</v>
          </cell>
        </row>
        <row r="6546">
          <cell r="A6546" t="str">
            <v>5A70</v>
          </cell>
        </row>
        <row r="6547">
          <cell r="A6547" t="str">
            <v>5A71</v>
          </cell>
        </row>
        <row r="6548">
          <cell r="A6548" t="str">
            <v>5A76</v>
          </cell>
        </row>
        <row r="6549">
          <cell r="A6549" t="str">
            <v>5A77</v>
          </cell>
        </row>
        <row r="6550">
          <cell r="A6550" t="str">
            <v>5A78</v>
          </cell>
        </row>
        <row r="6551">
          <cell r="A6551" t="str">
            <v>5A79</v>
          </cell>
        </row>
        <row r="6552">
          <cell r="A6552" t="str">
            <v>5A80</v>
          </cell>
        </row>
        <row r="6553">
          <cell r="A6553" t="str">
            <v>5A81</v>
          </cell>
        </row>
        <row r="6554">
          <cell r="A6554" t="str">
            <v>5A82</v>
          </cell>
        </row>
        <row r="6555">
          <cell r="A6555" t="str">
            <v>5A83</v>
          </cell>
        </row>
        <row r="6556">
          <cell r="A6556" t="str">
            <v>5A84</v>
          </cell>
        </row>
        <row r="6557">
          <cell r="A6557" t="str">
            <v>5A85</v>
          </cell>
        </row>
        <row r="6558">
          <cell r="A6558" t="str">
            <v>5A86</v>
          </cell>
        </row>
        <row r="6559">
          <cell r="A6559" t="str">
            <v>5A87</v>
          </cell>
        </row>
        <row r="6560">
          <cell r="A6560" t="str">
            <v>5A88</v>
          </cell>
        </row>
        <row r="6561">
          <cell r="A6561" t="str">
            <v>5A89</v>
          </cell>
        </row>
        <row r="6562">
          <cell r="A6562" t="str">
            <v>5A90</v>
          </cell>
        </row>
        <row r="6563">
          <cell r="A6563" t="str">
            <v>5A95</v>
          </cell>
        </row>
        <row r="6564">
          <cell r="A6564" t="str">
            <v>5A96</v>
          </cell>
        </row>
        <row r="6565">
          <cell r="A6565" t="str">
            <v>5A97</v>
          </cell>
        </row>
        <row r="6566">
          <cell r="A6566" t="str">
            <v>5A98</v>
          </cell>
        </row>
        <row r="6567">
          <cell r="A6567" t="str">
            <v>5A99</v>
          </cell>
        </row>
        <row r="6568">
          <cell r="A6568" t="str">
            <v>5B00</v>
          </cell>
        </row>
        <row r="6569">
          <cell r="A6569" t="str">
            <v>5B02</v>
          </cell>
        </row>
        <row r="6570">
          <cell r="A6570" t="str">
            <v>5B03</v>
          </cell>
        </row>
        <row r="6571">
          <cell r="A6571" t="str">
            <v>5B04</v>
          </cell>
        </row>
        <row r="6572">
          <cell r="A6572" t="str">
            <v>5B05</v>
          </cell>
        </row>
        <row r="6573">
          <cell r="A6573" t="str">
            <v>5B06</v>
          </cell>
        </row>
        <row r="6574">
          <cell r="A6574" t="str">
            <v>5B07</v>
          </cell>
        </row>
        <row r="6575">
          <cell r="A6575" t="str">
            <v>5B08</v>
          </cell>
        </row>
        <row r="6576">
          <cell r="A6576" t="str">
            <v>5B09</v>
          </cell>
        </row>
        <row r="6577">
          <cell r="A6577" t="str">
            <v>5B10</v>
          </cell>
        </row>
        <row r="6578">
          <cell r="A6578" t="str">
            <v>5B11</v>
          </cell>
        </row>
        <row r="6579">
          <cell r="A6579" t="str">
            <v>5B12</v>
          </cell>
        </row>
        <row r="6580">
          <cell r="A6580" t="str">
            <v>5B13</v>
          </cell>
        </row>
        <row r="6581">
          <cell r="A6581" t="str">
            <v>5B14</v>
          </cell>
        </row>
        <row r="6582">
          <cell r="A6582" t="str">
            <v>5B15</v>
          </cell>
        </row>
        <row r="6583">
          <cell r="A6583" t="str">
            <v>5B18</v>
          </cell>
        </row>
        <row r="6584">
          <cell r="A6584" t="str">
            <v>5B19</v>
          </cell>
        </row>
        <row r="6585">
          <cell r="A6585" t="str">
            <v>5B21</v>
          </cell>
        </row>
        <row r="6586">
          <cell r="A6586" t="str">
            <v>5B22</v>
          </cell>
        </row>
        <row r="6587">
          <cell r="A6587" t="str">
            <v>5D00</v>
          </cell>
        </row>
        <row r="6588">
          <cell r="A6588" t="str">
            <v>5D01</v>
          </cell>
        </row>
        <row r="6589">
          <cell r="A6589" t="str">
            <v>5D18</v>
          </cell>
        </row>
        <row r="6590">
          <cell r="A6590" t="str">
            <v>5D19</v>
          </cell>
        </row>
        <row r="6591">
          <cell r="A6591" t="str">
            <v>5D21</v>
          </cell>
        </row>
        <row r="6592">
          <cell r="A6592" t="str">
            <v>5D22</v>
          </cell>
        </row>
        <row r="6593">
          <cell r="A6593" t="str">
            <v>6000</v>
          </cell>
        </row>
        <row r="6594">
          <cell r="A6594" t="str">
            <v>6001</v>
          </cell>
        </row>
        <row r="6595">
          <cell r="A6595" t="str">
            <v>6002</v>
          </cell>
        </row>
        <row r="6596">
          <cell r="A6596" t="str">
            <v>6003</v>
          </cell>
        </row>
        <row r="6597">
          <cell r="A6597" t="str">
            <v>6004</v>
          </cell>
        </row>
        <row r="6598">
          <cell r="A6598" t="str">
            <v>6005</v>
          </cell>
        </row>
        <row r="6599">
          <cell r="A6599" t="str">
            <v>6006</v>
          </cell>
        </row>
        <row r="6600">
          <cell r="A6600" t="str">
            <v>6007</v>
          </cell>
        </row>
        <row r="6601">
          <cell r="A6601" t="str">
            <v>6008</v>
          </cell>
        </row>
        <row r="6602">
          <cell r="A6602" t="str">
            <v>6009</v>
          </cell>
        </row>
        <row r="6603">
          <cell r="A6603" t="str">
            <v>600A</v>
          </cell>
        </row>
        <row r="6604">
          <cell r="A6604" t="str">
            <v>600B</v>
          </cell>
        </row>
        <row r="6605">
          <cell r="A6605" t="str">
            <v>600C</v>
          </cell>
        </row>
        <row r="6606">
          <cell r="A6606" t="str">
            <v>600D</v>
          </cell>
        </row>
        <row r="6607">
          <cell r="A6607" t="str">
            <v>6010</v>
          </cell>
        </row>
        <row r="6608">
          <cell r="A6608" t="str">
            <v>6011</v>
          </cell>
        </row>
        <row r="6609">
          <cell r="A6609" t="str">
            <v>6012</v>
          </cell>
        </row>
        <row r="6610">
          <cell r="A6610" t="str">
            <v>6013</v>
          </cell>
        </row>
        <row r="6611">
          <cell r="A6611" t="str">
            <v>6014</v>
          </cell>
        </row>
        <row r="6612">
          <cell r="A6612" t="str">
            <v>8001</v>
          </cell>
        </row>
        <row r="6613">
          <cell r="A6613" t="str">
            <v>8002</v>
          </cell>
        </row>
        <row r="6614">
          <cell r="A6614" t="str">
            <v>8003</v>
          </cell>
        </row>
        <row r="6615">
          <cell r="A6615" t="str">
            <v>8004</v>
          </cell>
        </row>
        <row r="6616">
          <cell r="A6616" t="str">
            <v>8005</v>
          </cell>
        </row>
        <row r="6617">
          <cell r="A6617" t="str">
            <v>8010</v>
          </cell>
        </row>
        <row r="6618">
          <cell r="A6618" t="str">
            <v>8011</v>
          </cell>
        </row>
        <row r="6619">
          <cell r="A6619" t="str">
            <v>8012</v>
          </cell>
        </row>
        <row r="6620">
          <cell r="A6620" t="str">
            <v>8013</v>
          </cell>
        </row>
        <row r="6621">
          <cell r="A6621" t="str">
            <v>8020</v>
          </cell>
        </row>
        <row r="6622">
          <cell r="A6622" t="str">
            <v>8021</v>
          </cell>
        </row>
        <row r="6623">
          <cell r="A6623" t="str">
            <v>8022</v>
          </cell>
        </row>
        <row r="6624">
          <cell r="A6624" t="str">
            <v>8028</v>
          </cell>
        </row>
        <row r="6625">
          <cell r="A6625" t="str">
            <v>8029</v>
          </cell>
        </row>
        <row r="6626">
          <cell r="A6626" t="str">
            <v>802A</v>
          </cell>
        </row>
        <row r="6627">
          <cell r="A6627" t="str">
            <v>8030</v>
          </cell>
        </row>
        <row r="6628">
          <cell r="A6628" t="str">
            <v>8031</v>
          </cell>
        </row>
        <row r="6629">
          <cell r="A6629" t="str">
            <v>8032</v>
          </cell>
        </row>
        <row r="6630">
          <cell r="A6630" t="str">
            <v>8033</v>
          </cell>
        </row>
        <row r="6631">
          <cell r="A6631" t="str">
            <v>8038</v>
          </cell>
        </row>
        <row r="6632">
          <cell r="A6632" t="str">
            <v>8039</v>
          </cell>
        </row>
        <row r="6633">
          <cell r="A6633" t="str">
            <v>803A</v>
          </cell>
        </row>
        <row r="6634">
          <cell r="A6634" t="str">
            <v>803B</v>
          </cell>
        </row>
        <row r="6635">
          <cell r="A6635" t="str">
            <v>8040</v>
          </cell>
        </row>
        <row r="6636">
          <cell r="A6636" t="str">
            <v>8041</v>
          </cell>
        </row>
        <row r="6637">
          <cell r="A6637" t="str">
            <v>8042</v>
          </cell>
        </row>
        <row r="6638">
          <cell r="A6638" t="str">
            <v>8043</v>
          </cell>
        </row>
        <row r="6639">
          <cell r="A6639" t="str">
            <v>8048</v>
          </cell>
        </row>
        <row r="6640">
          <cell r="A6640" t="str">
            <v>8049</v>
          </cell>
        </row>
        <row r="6641">
          <cell r="A6641" t="str">
            <v>804A</v>
          </cell>
        </row>
        <row r="6642">
          <cell r="A6642" t="str">
            <v>804B</v>
          </cell>
        </row>
        <row r="6643">
          <cell r="A6643" t="str">
            <v>8050</v>
          </cell>
        </row>
        <row r="6644">
          <cell r="A6644" t="str">
            <v>8051</v>
          </cell>
        </row>
        <row r="6645">
          <cell r="A6645" t="str">
            <v>8052</v>
          </cell>
        </row>
        <row r="6646">
          <cell r="A6646" t="str">
            <v>8053</v>
          </cell>
        </row>
        <row r="6647">
          <cell r="A6647" t="str">
            <v>8054</v>
          </cell>
        </row>
        <row r="6648">
          <cell r="A6648" t="str">
            <v>8055</v>
          </cell>
        </row>
        <row r="6649">
          <cell r="A6649" t="str">
            <v>8056</v>
          </cell>
        </row>
        <row r="6650">
          <cell r="A6650" t="str">
            <v>8057</v>
          </cell>
        </row>
        <row r="6651">
          <cell r="A6651" t="str">
            <v>8058</v>
          </cell>
        </row>
        <row r="6652">
          <cell r="A6652" t="str">
            <v>8060</v>
          </cell>
        </row>
        <row r="6653">
          <cell r="A6653" t="str">
            <v>8061</v>
          </cell>
        </row>
        <row r="6654">
          <cell r="A6654" t="str">
            <v>8070</v>
          </cell>
        </row>
        <row r="6655">
          <cell r="A6655" t="str">
            <v>8071</v>
          </cell>
        </row>
        <row r="6656">
          <cell r="A6656" t="str">
            <v>8072</v>
          </cell>
        </row>
        <row r="6657">
          <cell r="A6657" t="str">
            <v>8073</v>
          </cell>
        </row>
        <row r="6658">
          <cell r="A6658" t="str">
            <v>8074</v>
          </cell>
        </row>
        <row r="6659">
          <cell r="A6659" t="str">
            <v>8075</v>
          </cell>
        </row>
        <row r="6660">
          <cell r="A6660" t="str">
            <v>8076</v>
          </cell>
        </row>
        <row r="6661">
          <cell r="A6661" t="str">
            <v>8077</v>
          </cell>
        </row>
        <row r="6662">
          <cell r="A6662" t="str">
            <v>8078</v>
          </cell>
        </row>
        <row r="6663">
          <cell r="A6663" t="str">
            <v>8079</v>
          </cell>
        </row>
        <row r="6664">
          <cell r="A6664" t="str">
            <v>807A</v>
          </cell>
        </row>
        <row r="6665">
          <cell r="A6665" t="str">
            <v>807B</v>
          </cell>
        </row>
        <row r="6666">
          <cell r="A6666" t="str">
            <v>807C</v>
          </cell>
        </row>
        <row r="6667">
          <cell r="A6667" t="str">
            <v>807D</v>
          </cell>
        </row>
        <row r="6668">
          <cell r="A6668" t="str">
            <v>807E</v>
          </cell>
        </row>
        <row r="6669">
          <cell r="A6669" t="str">
            <v>807F</v>
          </cell>
        </row>
        <row r="6670">
          <cell r="A6670" t="str">
            <v>8080</v>
          </cell>
        </row>
        <row r="6671">
          <cell r="A6671" t="str">
            <v>8081</v>
          </cell>
        </row>
        <row r="6672">
          <cell r="A6672" t="str">
            <v>8082</v>
          </cell>
        </row>
        <row r="6673">
          <cell r="A6673" t="str">
            <v>8083</v>
          </cell>
        </row>
        <row r="6674">
          <cell r="A6674" t="str">
            <v>8084</v>
          </cell>
        </row>
        <row r="6675">
          <cell r="A6675" t="str">
            <v>8085</v>
          </cell>
        </row>
        <row r="6676">
          <cell r="A6676" t="str">
            <v>8086</v>
          </cell>
        </row>
        <row r="6677">
          <cell r="A6677" t="str">
            <v>8087</v>
          </cell>
        </row>
        <row r="6678">
          <cell r="A6678" t="str">
            <v>8088</v>
          </cell>
        </row>
        <row r="6679">
          <cell r="A6679" t="str">
            <v>8090</v>
          </cell>
        </row>
        <row r="6680">
          <cell r="A6680" t="str">
            <v>8091</v>
          </cell>
        </row>
        <row r="6681">
          <cell r="A6681" t="str">
            <v>8092</v>
          </cell>
        </row>
        <row r="6682">
          <cell r="A6682" t="str">
            <v>8093</v>
          </cell>
        </row>
        <row r="6683">
          <cell r="A6683" t="str">
            <v>8094</v>
          </cell>
        </row>
        <row r="6684">
          <cell r="A6684" t="str">
            <v>8095</v>
          </cell>
        </row>
        <row r="6685">
          <cell r="A6685" t="str">
            <v>8096</v>
          </cell>
        </row>
        <row r="6686">
          <cell r="A6686" t="str">
            <v>8097</v>
          </cell>
        </row>
        <row r="6687">
          <cell r="A6687" t="str">
            <v>8098</v>
          </cell>
        </row>
        <row r="6688">
          <cell r="A6688" t="str">
            <v>8099</v>
          </cell>
        </row>
        <row r="6689">
          <cell r="A6689" t="str">
            <v>809A</v>
          </cell>
        </row>
        <row r="6690">
          <cell r="A6690" t="str">
            <v>809B</v>
          </cell>
        </row>
        <row r="6691">
          <cell r="A6691" t="str">
            <v>809C</v>
          </cell>
        </row>
        <row r="6692">
          <cell r="A6692" t="str">
            <v>809D</v>
          </cell>
        </row>
        <row r="6693">
          <cell r="A6693" t="str">
            <v>809E</v>
          </cell>
        </row>
        <row r="6694">
          <cell r="A6694" t="str">
            <v>809F</v>
          </cell>
        </row>
        <row r="6695">
          <cell r="A6695" t="str">
            <v>80A0</v>
          </cell>
        </row>
        <row r="6696">
          <cell r="A6696" t="str">
            <v>80A1</v>
          </cell>
        </row>
        <row r="6697">
          <cell r="A6697" t="str">
            <v>80B0</v>
          </cell>
        </row>
        <row r="6698">
          <cell r="A6698" t="str">
            <v>80B1</v>
          </cell>
        </row>
        <row r="6699">
          <cell r="A6699" t="str">
            <v>80B2</v>
          </cell>
        </row>
        <row r="6700">
          <cell r="A6700" t="str">
            <v>80B3</v>
          </cell>
        </row>
        <row r="6701">
          <cell r="A6701" t="str">
            <v>80B4</v>
          </cell>
        </row>
        <row r="6702">
          <cell r="A6702" t="str">
            <v>80B5</v>
          </cell>
        </row>
        <row r="6703">
          <cell r="A6703" t="str">
            <v>80B6</v>
          </cell>
        </row>
        <row r="6704">
          <cell r="A6704" t="str">
            <v>80B7</v>
          </cell>
        </row>
        <row r="6705">
          <cell r="A6705" t="str">
            <v>80B8</v>
          </cell>
        </row>
        <row r="6706">
          <cell r="A6706" t="str">
            <v>80B9</v>
          </cell>
        </row>
        <row r="6707">
          <cell r="A6707" t="str">
            <v>80BA</v>
          </cell>
        </row>
        <row r="6708">
          <cell r="A6708" t="str">
            <v>80BB</v>
          </cell>
        </row>
        <row r="6709">
          <cell r="A6709" t="str">
            <v>80C0</v>
          </cell>
        </row>
        <row r="6710">
          <cell r="A6710" t="str">
            <v>80C1</v>
          </cell>
        </row>
        <row r="6711">
          <cell r="A6711" t="str">
            <v>80C2</v>
          </cell>
        </row>
        <row r="6712">
          <cell r="A6712" t="str">
            <v>80C3</v>
          </cell>
        </row>
        <row r="6713">
          <cell r="A6713" t="str">
            <v>80C4</v>
          </cell>
        </row>
        <row r="6714">
          <cell r="A6714" t="str">
            <v>80C5</v>
          </cell>
        </row>
        <row r="6715">
          <cell r="A6715" t="str">
            <v>80C6</v>
          </cell>
        </row>
        <row r="6716">
          <cell r="A6716" t="str">
            <v>80C7</v>
          </cell>
        </row>
        <row r="6717">
          <cell r="A6717" t="str">
            <v>80C8</v>
          </cell>
        </row>
        <row r="6718">
          <cell r="A6718" t="str">
            <v>80C9</v>
          </cell>
        </row>
        <row r="6719">
          <cell r="A6719" t="str">
            <v>80CA</v>
          </cell>
        </row>
        <row r="6720">
          <cell r="A6720" t="str">
            <v>80CB</v>
          </cell>
        </row>
        <row r="6721">
          <cell r="A6721" t="str">
            <v>80D0</v>
          </cell>
        </row>
        <row r="6722">
          <cell r="A6722" t="str">
            <v>80D1</v>
          </cell>
        </row>
        <row r="6723">
          <cell r="A6723" t="str">
            <v>80D2</v>
          </cell>
        </row>
        <row r="6724">
          <cell r="A6724" t="str">
            <v>80D3</v>
          </cell>
        </row>
        <row r="6725">
          <cell r="A6725" t="str">
            <v>80D4</v>
          </cell>
        </row>
        <row r="6726">
          <cell r="A6726" t="str">
            <v>80D5</v>
          </cell>
        </row>
        <row r="6727">
          <cell r="A6727" t="str">
            <v>80DF</v>
          </cell>
        </row>
        <row r="6728">
          <cell r="A6728" t="str">
            <v>80E0</v>
          </cell>
        </row>
        <row r="6729">
          <cell r="A6729" t="str">
            <v>80E1</v>
          </cell>
        </row>
        <row r="6730">
          <cell r="A6730" t="str">
            <v>80E2</v>
          </cell>
        </row>
        <row r="6731">
          <cell r="A6731" t="str">
            <v>80E3</v>
          </cell>
        </row>
        <row r="6732">
          <cell r="A6732" t="str">
            <v>80E4</v>
          </cell>
        </row>
        <row r="6733">
          <cell r="A6733" t="str">
            <v>80E5</v>
          </cell>
        </row>
        <row r="6734">
          <cell r="A6734" t="str">
            <v>80E6</v>
          </cell>
        </row>
        <row r="6735">
          <cell r="A6735" t="str">
            <v>80E7</v>
          </cell>
        </row>
        <row r="6736">
          <cell r="A6736" t="str">
            <v>80E8</v>
          </cell>
        </row>
        <row r="6737">
          <cell r="A6737" t="str">
            <v>80F0</v>
          </cell>
        </row>
        <row r="6738">
          <cell r="A6738" t="str">
            <v>80F1</v>
          </cell>
        </row>
        <row r="6739">
          <cell r="A6739" t="str">
            <v>80F2</v>
          </cell>
        </row>
        <row r="6740">
          <cell r="A6740" t="str">
            <v>80F3</v>
          </cell>
        </row>
        <row r="6741">
          <cell r="A6741" t="str">
            <v>80F4</v>
          </cell>
        </row>
        <row r="6742">
          <cell r="A6742" t="str">
            <v>80F5</v>
          </cell>
        </row>
        <row r="6743">
          <cell r="A6743" t="str">
            <v>80F6</v>
          </cell>
        </row>
        <row r="6744">
          <cell r="A6744" t="str">
            <v>80F7</v>
          </cell>
        </row>
        <row r="6745">
          <cell r="A6745" t="str">
            <v>9000</v>
          </cell>
        </row>
        <row r="6746">
          <cell r="A6746" t="str">
            <v>9001</v>
          </cell>
        </row>
        <row r="6747">
          <cell r="A6747" t="str">
            <v>9002</v>
          </cell>
        </row>
        <row r="6748">
          <cell r="A6748" t="str">
            <v>9003</v>
          </cell>
        </row>
        <row r="6749">
          <cell r="A6749" t="str">
            <v>9004</v>
          </cell>
        </row>
        <row r="6750">
          <cell r="A6750" t="str">
            <v>9005</v>
          </cell>
        </row>
        <row r="6751">
          <cell r="A6751" t="str">
            <v>9006</v>
          </cell>
        </row>
        <row r="6752">
          <cell r="A6752" t="str">
            <v>9007</v>
          </cell>
        </row>
        <row r="6753">
          <cell r="A6753" t="str">
            <v>9008</v>
          </cell>
        </row>
        <row r="6754">
          <cell r="A6754" t="str">
            <v>9009</v>
          </cell>
        </row>
        <row r="6755">
          <cell r="A6755" t="str">
            <v>900A</v>
          </cell>
        </row>
        <row r="6756">
          <cell r="A6756" t="str">
            <v>900B</v>
          </cell>
        </row>
        <row r="6757">
          <cell r="A6757" t="str">
            <v>900C</v>
          </cell>
        </row>
        <row r="6758">
          <cell r="A6758" t="str">
            <v>900D</v>
          </cell>
        </row>
        <row r="6759">
          <cell r="A6759" t="str">
            <v>900E</v>
          </cell>
        </row>
        <row r="6760">
          <cell r="A6760" t="str">
            <v>900F</v>
          </cell>
        </row>
        <row r="6761">
          <cell r="A6761" t="str">
            <v>9010</v>
          </cell>
        </row>
        <row r="6762">
          <cell r="A6762" t="str">
            <v>9011</v>
          </cell>
        </row>
        <row r="6763">
          <cell r="A6763" t="str">
            <v>9012</v>
          </cell>
        </row>
        <row r="6764">
          <cell r="A6764" t="str">
            <v>9013</v>
          </cell>
        </row>
        <row r="6765">
          <cell r="A6765" t="str">
            <v>9014</v>
          </cell>
        </row>
        <row r="6766">
          <cell r="A6766" t="str">
            <v>9015</v>
          </cell>
        </row>
        <row r="6767">
          <cell r="A6767" t="str">
            <v>9016</v>
          </cell>
        </row>
        <row r="6768">
          <cell r="A6768" t="str">
            <v>9017</v>
          </cell>
        </row>
        <row r="6769">
          <cell r="A6769" t="str">
            <v>9018</v>
          </cell>
        </row>
        <row r="6770">
          <cell r="A6770" t="str">
            <v>9019</v>
          </cell>
        </row>
        <row r="6771">
          <cell r="A6771" t="str">
            <v>901A</v>
          </cell>
        </row>
        <row r="6772">
          <cell r="A6772" t="str">
            <v>901B</v>
          </cell>
        </row>
        <row r="6773">
          <cell r="A6773" t="str">
            <v>901C</v>
          </cell>
        </row>
        <row r="6774">
          <cell r="A6774" t="str">
            <v>901D</v>
          </cell>
        </row>
        <row r="6775">
          <cell r="A6775" t="str">
            <v>901E</v>
          </cell>
        </row>
        <row r="6776">
          <cell r="A6776" t="str">
            <v>901F</v>
          </cell>
        </row>
        <row r="6777">
          <cell r="A6777" t="str">
            <v>9020</v>
          </cell>
        </row>
        <row r="6778">
          <cell r="A6778" t="str">
            <v>9021</v>
          </cell>
        </row>
        <row r="6779">
          <cell r="A6779" t="str">
            <v>9022</v>
          </cell>
        </row>
        <row r="6780">
          <cell r="A6780" t="str">
            <v>9023</v>
          </cell>
        </row>
        <row r="6781">
          <cell r="A6781" t="str">
            <v>9024</v>
          </cell>
        </row>
        <row r="6782">
          <cell r="A6782" t="str">
            <v>9025</v>
          </cell>
        </row>
        <row r="6783">
          <cell r="A6783" t="str">
            <v>9026</v>
          </cell>
        </row>
        <row r="6784">
          <cell r="A6784" t="str">
            <v>9027</v>
          </cell>
        </row>
        <row r="6785">
          <cell r="A6785" t="str">
            <v>9028</v>
          </cell>
        </row>
        <row r="6786">
          <cell r="A6786" t="str">
            <v>9029</v>
          </cell>
        </row>
        <row r="6787">
          <cell r="A6787" t="str">
            <v>902A</v>
          </cell>
        </row>
        <row r="6788">
          <cell r="A6788" t="str">
            <v>902B</v>
          </cell>
        </row>
        <row r="6789">
          <cell r="A6789" t="str">
            <v>902C</v>
          </cell>
        </row>
        <row r="6790">
          <cell r="A6790" t="str">
            <v>902D</v>
          </cell>
        </row>
        <row r="6791">
          <cell r="A6791" t="str">
            <v>902E</v>
          </cell>
        </row>
        <row r="6792">
          <cell r="A6792" t="str">
            <v>902F</v>
          </cell>
        </row>
        <row r="6793">
          <cell r="A6793" t="str">
            <v>9030</v>
          </cell>
        </row>
        <row r="6794">
          <cell r="A6794" t="str">
            <v>9031</v>
          </cell>
        </row>
        <row r="6795">
          <cell r="A6795" t="str">
            <v>9032</v>
          </cell>
        </row>
        <row r="6796">
          <cell r="A6796" t="str">
            <v>9033</v>
          </cell>
        </row>
        <row r="6797">
          <cell r="A6797" t="str">
            <v>9034</v>
          </cell>
        </row>
        <row r="6798">
          <cell r="A6798" t="str">
            <v>9035</v>
          </cell>
        </row>
        <row r="6799">
          <cell r="A6799" t="str">
            <v>9036</v>
          </cell>
        </row>
        <row r="6800">
          <cell r="A6800" t="str">
            <v>9037</v>
          </cell>
        </row>
        <row r="6801">
          <cell r="A6801" t="str">
            <v>9038</v>
          </cell>
        </row>
        <row r="6802">
          <cell r="A6802" t="str">
            <v>9039</v>
          </cell>
        </row>
        <row r="6803">
          <cell r="A6803" t="str">
            <v>903A</v>
          </cell>
        </row>
        <row r="6804">
          <cell r="A6804" t="str">
            <v>903B</v>
          </cell>
        </row>
        <row r="6805">
          <cell r="A6805" t="str">
            <v>903C</v>
          </cell>
        </row>
        <row r="6806">
          <cell r="A6806" t="str">
            <v>903D</v>
          </cell>
        </row>
        <row r="6807">
          <cell r="A6807" t="str">
            <v>903E</v>
          </cell>
        </row>
        <row r="6808">
          <cell r="A6808" t="str">
            <v>903F</v>
          </cell>
        </row>
        <row r="6809">
          <cell r="A6809" t="str">
            <v>9040</v>
          </cell>
        </row>
        <row r="6810">
          <cell r="A6810" t="str">
            <v>9041</v>
          </cell>
        </row>
        <row r="6811">
          <cell r="A6811" t="str">
            <v>9042</v>
          </cell>
        </row>
        <row r="6812">
          <cell r="A6812" t="str">
            <v>9043</v>
          </cell>
        </row>
        <row r="6813">
          <cell r="A6813" t="str">
            <v>9044</v>
          </cell>
        </row>
        <row r="6814">
          <cell r="A6814" t="str">
            <v>9045</v>
          </cell>
        </row>
        <row r="6815">
          <cell r="A6815" t="str">
            <v>9046</v>
          </cell>
        </row>
        <row r="6816">
          <cell r="A6816" t="str">
            <v>9047</v>
          </cell>
        </row>
        <row r="6817">
          <cell r="A6817" t="str">
            <v>9048</v>
          </cell>
        </row>
        <row r="6818">
          <cell r="A6818" t="str">
            <v>9049</v>
          </cell>
        </row>
        <row r="6819">
          <cell r="A6819" t="str">
            <v>904A</v>
          </cell>
        </row>
        <row r="6820">
          <cell r="A6820" t="str">
            <v>904B</v>
          </cell>
        </row>
        <row r="6821">
          <cell r="A6821" t="str">
            <v>904C</v>
          </cell>
        </row>
        <row r="6822">
          <cell r="A6822" t="str">
            <v>904D</v>
          </cell>
        </row>
        <row r="6823">
          <cell r="A6823" t="str">
            <v>904E</v>
          </cell>
        </row>
        <row r="6824">
          <cell r="A6824" t="str">
            <v>904F</v>
          </cell>
        </row>
        <row r="6825">
          <cell r="A6825" t="str">
            <v>9050</v>
          </cell>
        </row>
        <row r="6826">
          <cell r="A6826" t="str">
            <v>9051</v>
          </cell>
        </row>
        <row r="6827">
          <cell r="A6827" t="str">
            <v>9052</v>
          </cell>
        </row>
        <row r="6828">
          <cell r="A6828" t="str">
            <v>9053</v>
          </cell>
        </row>
        <row r="6829">
          <cell r="A6829" t="str">
            <v>9054</v>
          </cell>
        </row>
        <row r="6830">
          <cell r="A6830" t="str">
            <v>9055</v>
          </cell>
        </row>
        <row r="6831">
          <cell r="A6831" t="str">
            <v>9056</v>
          </cell>
        </row>
        <row r="6832">
          <cell r="A6832" t="str">
            <v>9057</v>
          </cell>
        </row>
        <row r="6833">
          <cell r="A6833" t="str">
            <v>9058</v>
          </cell>
        </row>
        <row r="6834">
          <cell r="A6834" t="str">
            <v>9059</v>
          </cell>
        </row>
        <row r="6835">
          <cell r="A6835" t="str">
            <v>905A</v>
          </cell>
        </row>
        <row r="6836">
          <cell r="A6836" t="str">
            <v>905B</v>
          </cell>
        </row>
        <row r="6837">
          <cell r="A6837" t="str">
            <v>905C</v>
          </cell>
        </row>
        <row r="6838">
          <cell r="A6838" t="str">
            <v>905D</v>
          </cell>
        </row>
        <row r="6839">
          <cell r="A6839" t="str">
            <v>905E</v>
          </cell>
        </row>
        <row r="6840">
          <cell r="A6840" t="str">
            <v>905F</v>
          </cell>
        </row>
        <row r="6841">
          <cell r="A6841" t="str">
            <v>9060</v>
          </cell>
        </row>
        <row r="6842">
          <cell r="A6842" t="str">
            <v>9061</v>
          </cell>
        </row>
        <row r="6843">
          <cell r="A6843" t="str">
            <v>9062</v>
          </cell>
        </row>
        <row r="6844">
          <cell r="A6844" t="str">
            <v>9063</v>
          </cell>
        </row>
        <row r="6845">
          <cell r="A6845" t="str">
            <v>9064</v>
          </cell>
        </row>
        <row r="6846">
          <cell r="A6846" t="str">
            <v>9065</v>
          </cell>
        </row>
        <row r="6847">
          <cell r="A6847" t="str">
            <v>9066</v>
          </cell>
        </row>
        <row r="6848">
          <cell r="A6848" t="str">
            <v>9067</v>
          </cell>
        </row>
        <row r="6849">
          <cell r="A6849" t="str">
            <v>9068</v>
          </cell>
        </row>
        <row r="6850">
          <cell r="A6850" t="str">
            <v>9069</v>
          </cell>
        </row>
        <row r="6851">
          <cell r="A6851" t="str">
            <v>906A</v>
          </cell>
        </row>
        <row r="6852">
          <cell r="A6852" t="str">
            <v>906B</v>
          </cell>
        </row>
        <row r="6853">
          <cell r="A6853" t="str">
            <v>906C</v>
          </cell>
        </row>
        <row r="6854">
          <cell r="A6854" t="str">
            <v>906D</v>
          </cell>
        </row>
        <row r="6855">
          <cell r="A6855" t="str">
            <v>906E</v>
          </cell>
        </row>
        <row r="6856">
          <cell r="A6856" t="str">
            <v>906F</v>
          </cell>
        </row>
        <row r="6857">
          <cell r="A6857" t="str">
            <v>9070</v>
          </cell>
        </row>
        <row r="6858">
          <cell r="A6858" t="str">
            <v>9071</v>
          </cell>
        </row>
        <row r="6859">
          <cell r="A6859" t="str">
            <v>9072</v>
          </cell>
        </row>
        <row r="6860">
          <cell r="A6860" t="str">
            <v>9073</v>
          </cell>
        </row>
        <row r="6861">
          <cell r="A6861" t="str">
            <v>9074</v>
          </cell>
        </row>
        <row r="6862">
          <cell r="A6862" t="str">
            <v>9075</v>
          </cell>
        </row>
        <row r="6863">
          <cell r="A6863" t="str">
            <v>9076</v>
          </cell>
        </row>
        <row r="6864">
          <cell r="A6864" t="str">
            <v>9077</v>
          </cell>
        </row>
        <row r="6865">
          <cell r="A6865" t="str">
            <v>9078</v>
          </cell>
        </row>
        <row r="6866">
          <cell r="A6866" t="str">
            <v>9079</v>
          </cell>
        </row>
        <row r="6867">
          <cell r="A6867" t="str">
            <v>907A</v>
          </cell>
        </row>
        <row r="6868">
          <cell r="A6868" t="str">
            <v>907B</v>
          </cell>
        </row>
        <row r="6869">
          <cell r="A6869" t="str">
            <v>907C</v>
          </cell>
        </row>
        <row r="6870">
          <cell r="A6870" t="str">
            <v>907D</v>
          </cell>
        </row>
        <row r="6871">
          <cell r="A6871" t="str">
            <v>907E</v>
          </cell>
        </row>
        <row r="6872">
          <cell r="A6872" t="str">
            <v>907F</v>
          </cell>
        </row>
        <row r="6873">
          <cell r="A6873" t="str">
            <v>9080</v>
          </cell>
        </row>
        <row r="6874">
          <cell r="A6874" t="str">
            <v>9081</v>
          </cell>
        </row>
        <row r="6875">
          <cell r="A6875" t="str">
            <v>9082</v>
          </cell>
        </row>
        <row r="6876">
          <cell r="A6876" t="str">
            <v>9083</v>
          </cell>
        </row>
        <row r="6877">
          <cell r="A6877" t="str">
            <v>9084</v>
          </cell>
        </row>
        <row r="6878">
          <cell r="A6878" t="str">
            <v>9085</v>
          </cell>
        </row>
        <row r="6879">
          <cell r="A6879" t="str">
            <v>9086</v>
          </cell>
        </row>
        <row r="6880">
          <cell r="A6880" t="str">
            <v>9087</v>
          </cell>
        </row>
        <row r="6881">
          <cell r="A6881" t="str">
            <v>9088</v>
          </cell>
        </row>
        <row r="6882">
          <cell r="A6882" t="str">
            <v>9089</v>
          </cell>
        </row>
        <row r="6883">
          <cell r="A6883" t="str">
            <v>908A</v>
          </cell>
        </row>
        <row r="6884">
          <cell r="A6884" t="str">
            <v>908B</v>
          </cell>
        </row>
        <row r="6885">
          <cell r="A6885" t="str">
            <v>908C</v>
          </cell>
        </row>
        <row r="6886">
          <cell r="A6886" t="str">
            <v>908D</v>
          </cell>
        </row>
        <row r="6887">
          <cell r="A6887" t="str">
            <v>908E</v>
          </cell>
        </row>
        <row r="6888">
          <cell r="A6888" t="str">
            <v>908F</v>
          </cell>
        </row>
        <row r="6889">
          <cell r="A6889" t="str">
            <v>9090</v>
          </cell>
        </row>
        <row r="6890">
          <cell r="A6890" t="str">
            <v>9091</v>
          </cell>
        </row>
        <row r="6891">
          <cell r="A6891" t="str">
            <v>9092</v>
          </cell>
        </row>
        <row r="6892">
          <cell r="A6892" t="str">
            <v>9093</v>
          </cell>
        </row>
        <row r="6893">
          <cell r="A6893" t="str">
            <v>9094</v>
          </cell>
        </row>
        <row r="6894">
          <cell r="A6894" t="str">
            <v>9095</v>
          </cell>
        </row>
        <row r="6895">
          <cell r="A6895" t="str">
            <v>9096</v>
          </cell>
        </row>
        <row r="6896">
          <cell r="A6896" t="str">
            <v>9097</v>
          </cell>
        </row>
        <row r="6897">
          <cell r="A6897" t="str">
            <v>9098</v>
          </cell>
        </row>
        <row r="6898">
          <cell r="A6898" t="str">
            <v>9099</v>
          </cell>
        </row>
        <row r="6899">
          <cell r="A6899" t="str">
            <v>909A</v>
          </cell>
        </row>
        <row r="6900">
          <cell r="A6900" t="str">
            <v>909B</v>
          </cell>
        </row>
        <row r="6901">
          <cell r="A6901" t="str">
            <v>909C</v>
          </cell>
        </row>
        <row r="6902">
          <cell r="A6902" t="str">
            <v>909D</v>
          </cell>
        </row>
        <row r="6903">
          <cell r="A6903" t="str">
            <v>909E</v>
          </cell>
        </row>
        <row r="6904">
          <cell r="A6904" t="str">
            <v>909F</v>
          </cell>
        </row>
        <row r="6905">
          <cell r="A6905" t="str">
            <v>90A0</v>
          </cell>
        </row>
        <row r="6906">
          <cell r="A6906" t="str">
            <v>90A1</v>
          </cell>
        </row>
        <row r="6907">
          <cell r="A6907" t="str">
            <v>90A2</v>
          </cell>
        </row>
        <row r="6908">
          <cell r="A6908" t="str">
            <v>90A3</v>
          </cell>
        </row>
        <row r="6909">
          <cell r="A6909" t="str">
            <v>90A4</v>
          </cell>
        </row>
        <row r="6910">
          <cell r="A6910" t="str">
            <v>90A5</v>
          </cell>
        </row>
        <row r="6911">
          <cell r="A6911" t="str">
            <v>90A6</v>
          </cell>
        </row>
        <row r="6912">
          <cell r="A6912" t="str">
            <v>90A7</v>
          </cell>
        </row>
        <row r="6913">
          <cell r="A6913" t="str">
            <v>90A8</v>
          </cell>
        </row>
        <row r="6914">
          <cell r="A6914" t="str">
            <v>90A9</v>
          </cell>
        </row>
        <row r="6915">
          <cell r="A6915" t="str">
            <v>90AA</v>
          </cell>
        </row>
        <row r="6916">
          <cell r="A6916" t="str">
            <v>90AB</v>
          </cell>
        </row>
        <row r="6917">
          <cell r="A6917" t="str">
            <v>90AC</v>
          </cell>
        </row>
        <row r="6918">
          <cell r="A6918" t="str">
            <v>90AD</v>
          </cell>
        </row>
        <row r="6919">
          <cell r="A6919" t="str">
            <v>90AE</v>
          </cell>
        </row>
        <row r="6920">
          <cell r="A6920" t="str">
            <v>90AF</v>
          </cell>
        </row>
        <row r="6921">
          <cell r="A6921" t="str">
            <v>90B0</v>
          </cell>
        </row>
        <row r="6922">
          <cell r="A6922" t="str">
            <v>90B1</v>
          </cell>
        </row>
        <row r="6923">
          <cell r="A6923" t="str">
            <v>90B2</v>
          </cell>
        </row>
        <row r="6924">
          <cell r="A6924" t="str">
            <v>90B3</v>
          </cell>
        </row>
        <row r="6925">
          <cell r="A6925" t="str">
            <v>90B4</v>
          </cell>
        </row>
        <row r="6926">
          <cell r="A6926" t="str">
            <v>90B5</v>
          </cell>
        </row>
        <row r="6927">
          <cell r="A6927" t="str">
            <v>90B6</v>
          </cell>
        </row>
        <row r="6928">
          <cell r="A6928" t="str">
            <v>90B7</v>
          </cell>
        </row>
        <row r="6929">
          <cell r="A6929" t="str">
            <v>90B8</v>
          </cell>
        </row>
        <row r="6930">
          <cell r="A6930" t="str">
            <v>90B9</v>
          </cell>
        </row>
        <row r="6931">
          <cell r="A6931" t="str">
            <v>90BA</v>
          </cell>
        </row>
        <row r="6932">
          <cell r="A6932" t="str">
            <v>90BB</v>
          </cell>
        </row>
        <row r="6933">
          <cell r="A6933" t="str">
            <v>90BC</v>
          </cell>
        </row>
        <row r="6934">
          <cell r="A6934" t="str">
            <v>90BD</v>
          </cell>
        </row>
        <row r="6935">
          <cell r="A6935" t="str">
            <v>90BE</v>
          </cell>
        </row>
        <row r="6936">
          <cell r="A6936" t="str">
            <v>90BF</v>
          </cell>
        </row>
        <row r="6937">
          <cell r="A6937" t="str">
            <v>90C0</v>
          </cell>
        </row>
        <row r="6938">
          <cell r="A6938" t="str">
            <v>90C1</v>
          </cell>
        </row>
        <row r="6939">
          <cell r="A6939" t="str">
            <v>90C2</v>
          </cell>
        </row>
        <row r="6940">
          <cell r="A6940" t="str">
            <v>90C3</v>
          </cell>
        </row>
        <row r="6941">
          <cell r="A6941" t="str">
            <v>90C4</v>
          </cell>
        </row>
        <row r="6942">
          <cell r="A6942" t="str">
            <v>90C5</v>
          </cell>
        </row>
        <row r="6943">
          <cell r="A6943" t="str">
            <v>90C6</v>
          </cell>
        </row>
        <row r="6944">
          <cell r="A6944" t="str">
            <v>90C7</v>
          </cell>
        </row>
        <row r="6945">
          <cell r="A6945" t="str">
            <v>90C8</v>
          </cell>
        </row>
        <row r="6946">
          <cell r="A6946" t="str">
            <v>90C9</v>
          </cell>
        </row>
        <row r="6947">
          <cell r="A6947" t="str">
            <v>90CA</v>
          </cell>
        </row>
        <row r="6948">
          <cell r="A6948" t="str">
            <v>90CB</v>
          </cell>
        </row>
        <row r="6949">
          <cell r="A6949" t="str">
            <v>90CC</v>
          </cell>
        </row>
        <row r="6950">
          <cell r="A6950" t="str">
            <v>90CD</v>
          </cell>
        </row>
        <row r="6951">
          <cell r="A6951" t="str">
            <v>90CE</v>
          </cell>
        </row>
        <row r="6952">
          <cell r="A6952" t="str">
            <v>90CF</v>
          </cell>
        </row>
        <row r="6953">
          <cell r="A6953" t="str">
            <v>90D0</v>
          </cell>
        </row>
        <row r="6954">
          <cell r="A6954" t="str">
            <v>90D1</v>
          </cell>
        </row>
        <row r="6955">
          <cell r="A6955" t="str">
            <v>90D2</v>
          </cell>
        </row>
        <row r="6956">
          <cell r="A6956" t="str">
            <v>90D3</v>
          </cell>
        </row>
        <row r="6957">
          <cell r="A6957" t="str">
            <v>90D4</v>
          </cell>
        </row>
        <row r="6958">
          <cell r="A6958" t="str">
            <v>90D5</v>
          </cell>
        </row>
        <row r="6959">
          <cell r="A6959" t="str">
            <v>90D6</v>
          </cell>
        </row>
        <row r="6960">
          <cell r="A6960" t="str">
            <v>90D7</v>
          </cell>
        </row>
        <row r="6961">
          <cell r="A6961" t="str">
            <v>90D8</v>
          </cell>
        </row>
        <row r="6962">
          <cell r="A6962" t="str">
            <v>90D9</v>
          </cell>
        </row>
        <row r="6963">
          <cell r="A6963" t="str">
            <v>90DA</v>
          </cell>
        </row>
        <row r="6964">
          <cell r="A6964" t="str">
            <v>90DB</v>
          </cell>
        </row>
        <row r="6965">
          <cell r="A6965" t="str">
            <v>90DC</v>
          </cell>
        </row>
        <row r="6966">
          <cell r="A6966" t="str">
            <v>90DD</v>
          </cell>
        </row>
        <row r="6967">
          <cell r="A6967" t="str">
            <v>90DE</v>
          </cell>
        </row>
        <row r="6968">
          <cell r="A6968" t="str">
            <v>90DF</v>
          </cell>
        </row>
        <row r="6969">
          <cell r="A6969" t="str">
            <v>90E0</v>
          </cell>
        </row>
        <row r="6970">
          <cell r="A6970" t="str">
            <v>90E1</v>
          </cell>
        </row>
        <row r="6971">
          <cell r="A6971" t="str">
            <v>90E2</v>
          </cell>
        </row>
        <row r="6972">
          <cell r="A6972" t="str">
            <v>90E3</v>
          </cell>
        </row>
        <row r="6973">
          <cell r="A6973" t="str">
            <v>90E4</v>
          </cell>
        </row>
        <row r="6974">
          <cell r="A6974" t="str">
            <v>90E5</v>
          </cell>
        </row>
        <row r="6975">
          <cell r="A6975" t="str">
            <v>90E6</v>
          </cell>
        </row>
        <row r="6976">
          <cell r="A6976" t="str">
            <v>90E7</v>
          </cell>
        </row>
        <row r="6977">
          <cell r="A6977" t="str">
            <v>90E8</v>
          </cell>
        </row>
        <row r="6978">
          <cell r="A6978" t="str">
            <v>90E9</v>
          </cell>
        </row>
        <row r="6979">
          <cell r="A6979" t="str">
            <v>90EA</v>
          </cell>
        </row>
        <row r="6980">
          <cell r="A6980" t="str">
            <v>90EB</v>
          </cell>
        </row>
        <row r="6981">
          <cell r="A6981" t="str">
            <v>90EC</v>
          </cell>
        </row>
        <row r="6982">
          <cell r="A6982" t="str">
            <v>90ED</v>
          </cell>
        </row>
        <row r="6983">
          <cell r="A6983" t="str">
            <v>90EE</v>
          </cell>
        </row>
        <row r="6984">
          <cell r="A6984" t="str">
            <v>90EF</v>
          </cell>
        </row>
        <row r="6985">
          <cell r="A6985" t="str">
            <v>90F0</v>
          </cell>
        </row>
        <row r="6986">
          <cell r="A6986" t="str">
            <v>90F1</v>
          </cell>
        </row>
        <row r="6987">
          <cell r="A6987" t="str">
            <v>90F2</v>
          </cell>
        </row>
        <row r="6988">
          <cell r="A6988" t="str">
            <v>90F3</v>
          </cell>
        </row>
        <row r="6989">
          <cell r="A6989" t="str">
            <v>90F4</v>
          </cell>
        </row>
        <row r="6990">
          <cell r="A6990" t="str">
            <v>90F5</v>
          </cell>
        </row>
        <row r="6991">
          <cell r="A6991" t="str">
            <v>90F6</v>
          </cell>
        </row>
        <row r="6992">
          <cell r="A6992" t="str">
            <v>90F7</v>
          </cell>
        </row>
        <row r="6993">
          <cell r="A6993" t="str">
            <v>90F8</v>
          </cell>
        </row>
        <row r="6994">
          <cell r="A6994" t="str">
            <v>90F9</v>
          </cell>
        </row>
        <row r="6995">
          <cell r="A6995" t="str">
            <v>90FA</v>
          </cell>
        </row>
        <row r="6996">
          <cell r="A6996" t="str">
            <v>90FB</v>
          </cell>
        </row>
        <row r="6997">
          <cell r="A6997" t="str">
            <v>90FC</v>
          </cell>
        </row>
        <row r="6998">
          <cell r="A6998" t="str">
            <v>90FD</v>
          </cell>
        </row>
        <row r="6999">
          <cell r="A6999" t="str">
            <v>90FE</v>
          </cell>
        </row>
        <row r="7000">
          <cell r="A7000" t="str">
            <v>90FF</v>
          </cell>
        </row>
        <row r="7001">
          <cell r="A7001" t="str">
            <v>9100</v>
          </cell>
        </row>
        <row r="7002">
          <cell r="A7002" t="str">
            <v>9101</v>
          </cell>
        </row>
        <row r="7003">
          <cell r="A7003" t="str">
            <v>9102</v>
          </cell>
        </row>
        <row r="7004">
          <cell r="A7004" t="str">
            <v>9103</v>
          </cell>
        </row>
        <row r="7005">
          <cell r="A7005" t="str">
            <v>9104</v>
          </cell>
        </row>
        <row r="7006">
          <cell r="A7006" t="str">
            <v>9105</v>
          </cell>
        </row>
        <row r="7007">
          <cell r="A7007" t="str">
            <v>9106</v>
          </cell>
        </row>
        <row r="7008">
          <cell r="A7008" t="str">
            <v>9107</v>
          </cell>
        </row>
        <row r="7009">
          <cell r="A7009" t="str">
            <v>9108</v>
          </cell>
        </row>
        <row r="7010">
          <cell r="A7010" t="str">
            <v>9109</v>
          </cell>
        </row>
        <row r="7011">
          <cell r="A7011" t="str">
            <v>910A</v>
          </cell>
        </row>
        <row r="7012">
          <cell r="A7012" t="str">
            <v>910B</v>
          </cell>
        </row>
        <row r="7013">
          <cell r="A7013" t="str">
            <v>910C</v>
          </cell>
        </row>
        <row r="7014">
          <cell r="A7014" t="str">
            <v>910D</v>
          </cell>
        </row>
        <row r="7015">
          <cell r="A7015" t="str">
            <v>910E</v>
          </cell>
        </row>
        <row r="7016">
          <cell r="A7016" t="str">
            <v>910F</v>
          </cell>
        </row>
        <row r="7017">
          <cell r="A7017" t="str">
            <v>9110</v>
          </cell>
        </row>
        <row r="7018">
          <cell r="A7018" t="str">
            <v>9111</v>
          </cell>
        </row>
        <row r="7019">
          <cell r="A7019" t="str">
            <v>9112</v>
          </cell>
        </row>
        <row r="7020">
          <cell r="A7020" t="str">
            <v>9113</v>
          </cell>
        </row>
        <row r="7021">
          <cell r="A7021" t="str">
            <v>9114</v>
          </cell>
        </row>
        <row r="7022">
          <cell r="A7022" t="str">
            <v>9115</v>
          </cell>
        </row>
        <row r="7023">
          <cell r="A7023" t="str">
            <v>9116</v>
          </cell>
        </row>
        <row r="7024">
          <cell r="A7024" t="str">
            <v>9117</v>
          </cell>
        </row>
        <row r="7025">
          <cell r="A7025" t="str">
            <v>9118</v>
          </cell>
        </row>
        <row r="7026">
          <cell r="A7026" t="str">
            <v>9119</v>
          </cell>
        </row>
        <row r="7027">
          <cell r="A7027" t="str">
            <v>911A</v>
          </cell>
        </row>
        <row r="7028">
          <cell r="A7028" t="str">
            <v>911B</v>
          </cell>
        </row>
        <row r="7029">
          <cell r="A7029" t="str">
            <v>911C</v>
          </cell>
        </row>
        <row r="7030">
          <cell r="A7030" t="str">
            <v>911D</v>
          </cell>
        </row>
        <row r="7031">
          <cell r="A7031" t="str">
            <v>911E</v>
          </cell>
        </row>
        <row r="7032">
          <cell r="A7032" t="str">
            <v>911F</v>
          </cell>
        </row>
        <row r="7033">
          <cell r="A7033" t="str">
            <v>9120</v>
          </cell>
        </row>
        <row r="7034">
          <cell r="A7034" t="str">
            <v>9121</v>
          </cell>
        </row>
        <row r="7035">
          <cell r="A7035" t="str">
            <v>9122</v>
          </cell>
        </row>
        <row r="7036">
          <cell r="A7036" t="str">
            <v>9123</v>
          </cell>
        </row>
        <row r="7037">
          <cell r="A7037" t="str">
            <v>9124</v>
          </cell>
        </row>
        <row r="7038">
          <cell r="A7038" t="str">
            <v>9125</v>
          </cell>
        </row>
        <row r="7039">
          <cell r="A7039" t="str">
            <v>9126</v>
          </cell>
        </row>
        <row r="7040">
          <cell r="A7040" t="str">
            <v>9127</v>
          </cell>
        </row>
        <row r="7041">
          <cell r="A7041" t="str">
            <v>9128</v>
          </cell>
        </row>
        <row r="7042">
          <cell r="A7042" t="str">
            <v>9129</v>
          </cell>
        </row>
        <row r="7043">
          <cell r="A7043" t="str">
            <v>912A</v>
          </cell>
        </row>
        <row r="7044">
          <cell r="A7044" t="str">
            <v>912B</v>
          </cell>
        </row>
        <row r="7045">
          <cell r="A7045" t="str">
            <v>912C</v>
          </cell>
        </row>
        <row r="7046">
          <cell r="A7046" t="str">
            <v>912D</v>
          </cell>
        </row>
        <row r="7047">
          <cell r="A7047" t="str">
            <v>912E</v>
          </cell>
        </row>
        <row r="7048">
          <cell r="A7048" t="str">
            <v>912F</v>
          </cell>
        </row>
        <row r="7049">
          <cell r="A7049" t="str">
            <v>9130</v>
          </cell>
        </row>
        <row r="7050">
          <cell r="A7050" t="str">
            <v>9131</v>
          </cell>
        </row>
        <row r="7051">
          <cell r="A7051" t="str">
            <v>9132</v>
          </cell>
        </row>
        <row r="7052">
          <cell r="A7052" t="str">
            <v>9133</v>
          </cell>
        </row>
        <row r="7053">
          <cell r="A7053" t="str">
            <v>9134</v>
          </cell>
        </row>
        <row r="7054">
          <cell r="A7054" t="str">
            <v>9135</v>
          </cell>
        </row>
        <row r="7055">
          <cell r="A7055" t="str">
            <v>9136</v>
          </cell>
        </row>
        <row r="7056">
          <cell r="A7056" t="str">
            <v>9137</v>
          </cell>
        </row>
        <row r="7057">
          <cell r="A7057" t="str">
            <v>9138</v>
          </cell>
        </row>
        <row r="7058">
          <cell r="A7058" t="str">
            <v>9139</v>
          </cell>
        </row>
        <row r="7059">
          <cell r="A7059" t="str">
            <v>913A</v>
          </cell>
        </row>
        <row r="7060">
          <cell r="A7060" t="str">
            <v>913B</v>
          </cell>
        </row>
        <row r="7061">
          <cell r="A7061" t="str">
            <v>913C</v>
          </cell>
        </row>
        <row r="7062">
          <cell r="A7062" t="str">
            <v>913D</v>
          </cell>
        </row>
        <row r="7063">
          <cell r="A7063" t="str">
            <v>913E</v>
          </cell>
        </row>
        <row r="7064">
          <cell r="A7064" t="str">
            <v>913F</v>
          </cell>
        </row>
        <row r="7065">
          <cell r="A7065" t="str">
            <v>9140</v>
          </cell>
        </row>
        <row r="7066">
          <cell r="A7066" t="str">
            <v>9141</v>
          </cell>
        </row>
        <row r="7067">
          <cell r="A7067" t="str">
            <v>9142</v>
          </cell>
        </row>
        <row r="7068">
          <cell r="A7068" t="str">
            <v>9143</v>
          </cell>
        </row>
        <row r="7069">
          <cell r="A7069" t="str">
            <v>9144</v>
          </cell>
        </row>
        <row r="7070">
          <cell r="A7070" t="str">
            <v>9145</v>
          </cell>
        </row>
        <row r="7071">
          <cell r="A7071" t="str">
            <v>9146</v>
          </cell>
        </row>
        <row r="7072">
          <cell r="A7072" t="str">
            <v>9147</v>
          </cell>
        </row>
        <row r="7073">
          <cell r="A7073" t="str">
            <v>9148</v>
          </cell>
        </row>
        <row r="7074">
          <cell r="A7074" t="str">
            <v>9149</v>
          </cell>
        </row>
        <row r="7075">
          <cell r="A7075" t="str">
            <v>914A</v>
          </cell>
        </row>
        <row r="7076">
          <cell r="A7076" t="str">
            <v>914B</v>
          </cell>
        </row>
        <row r="7077">
          <cell r="A7077" t="str">
            <v>914C</v>
          </cell>
        </row>
        <row r="7078">
          <cell r="A7078" t="str">
            <v>914D</v>
          </cell>
        </row>
        <row r="7079">
          <cell r="A7079" t="str">
            <v>914E</v>
          </cell>
        </row>
        <row r="7080">
          <cell r="A7080" t="str">
            <v>914F</v>
          </cell>
        </row>
        <row r="7081">
          <cell r="A7081" t="str">
            <v>9150</v>
          </cell>
        </row>
        <row r="7082">
          <cell r="A7082" t="str">
            <v>9151</v>
          </cell>
        </row>
        <row r="7083">
          <cell r="A7083" t="str">
            <v>9152</v>
          </cell>
        </row>
        <row r="7084">
          <cell r="A7084" t="str">
            <v>9153</v>
          </cell>
        </row>
        <row r="7085">
          <cell r="A7085" t="str">
            <v>9154</v>
          </cell>
        </row>
        <row r="7086">
          <cell r="A7086" t="str">
            <v>9155</v>
          </cell>
        </row>
        <row r="7087">
          <cell r="A7087" t="str">
            <v>9156</v>
          </cell>
        </row>
        <row r="7088">
          <cell r="A7088" t="str">
            <v>9157</v>
          </cell>
        </row>
        <row r="7089">
          <cell r="A7089" t="str">
            <v>9158</v>
          </cell>
        </row>
        <row r="7090">
          <cell r="A7090" t="str">
            <v>9159</v>
          </cell>
        </row>
        <row r="7091">
          <cell r="A7091" t="str">
            <v>915A</v>
          </cell>
        </row>
        <row r="7092">
          <cell r="A7092" t="str">
            <v>915B</v>
          </cell>
        </row>
        <row r="7093">
          <cell r="A7093" t="str">
            <v>915C</v>
          </cell>
        </row>
        <row r="7094">
          <cell r="A7094" t="str">
            <v>915D</v>
          </cell>
        </row>
        <row r="7095">
          <cell r="A7095" t="str">
            <v>915E</v>
          </cell>
        </row>
        <row r="7096">
          <cell r="A7096" t="str">
            <v>915F</v>
          </cell>
        </row>
        <row r="7097">
          <cell r="A7097" t="str">
            <v>9160</v>
          </cell>
        </row>
        <row r="7098">
          <cell r="A7098" t="str">
            <v>9161</v>
          </cell>
        </row>
        <row r="7099">
          <cell r="A7099" t="str">
            <v>9162</v>
          </cell>
        </row>
        <row r="7100">
          <cell r="A7100" t="str">
            <v>9163</v>
          </cell>
        </row>
        <row r="7101">
          <cell r="A7101" t="str">
            <v>9164</v>
          </cell>
        </row>
        <row r="7102">
          <cell r="A7102" t="str">
            <v>9165</v>
          </cell>
        </row>
        <row r="7103">
          <cell r="A7103" t="str">
            <v>9166</v>
          </cell>
        </row>
        <row r="7104">
          <cell r="A7104" t="str">
            <v>9167</v>
          </cell>
        </row>
        <row r="7105">
          <cell r="A7105" t="str">
            <v>9168</v>
          </cell>
        </row>
        <row r="7106">
          <cell r="A7106" t="str">
            <v>9169</v>
          </cell>
        </row>
        <row r="7107">
          <cell r="A7107" t="str">
            <v>916A</v>
          </cell>
        </row>
        <row r="7108">
          <cell r="A7108" t="str">
            <v>916B</v>
          </cell>
        </row>
        <row r="7109">
          <cell r="A7109" t="str">
            <v>916C</v>
          </cell>
        </row>
        <row r="7110">
          <cell r="A7110" t="str">
            <v>916D</v>
          </cell>
        </row>
        <row r="7111">
          <cell r="A7111" t="str">
            <v>916E</v>
          </cell>
        </row>
        <row r="7112">
          <cell r="A7112" t="str">
            <v>916F</v>
          </cell>
        </row>
        <row r="7113">
          <cell r="A7113" t="str">
            <v>9170</v>
          </cell>
        </row>
        <row r="7114">
          <cell r="A7114" t="str">
            <v>9171</v>
          </cell>
        </row>
        <row r="7115">
          <cell r="A7115" t="str">
            <v>9172</v>
          </cell>
        </row>
        <row r="7116">
          <cell r="A7116" t="str">
            <v>9173</v>
          </cell>
        </row>
        <row r="7117">
          <cell r="A7117" t="str">
            <v>9174</v>
          </cell>
        </row>
        <row r="7118">
          <cell r="A7118" t="str">
            <v>9175</v>
          </cell>
        </row>
        <row r="7119">
          <cell r="A7119" t="str">
            <v>9176</v>
          </cell>
        </row>
        <row r="7120">
          <cell r="A7120" t="str">
            <v>9177</v>
          </cell>
        </row>
        <row r="7121">
          <cell r="A7121" t="str">
            <v>9178</v>
          </cell>
        </row>
        <row r="7122">
          <cell r="A7122" t="str">
            <v>9179</v>
          </cell>
        </row>
        <row r="7123">
          <cell r="A7123" t="str">
            <v>917A</v>
          </cell>
        </row>
        <row r="7124">
          <cell r="A7124" t="str">
            <v>917B</v>
          </cell>
        </row>
        <row r="7125">
          <cell r="A7125" t="str">
            <v>917C</v>
          </cell>
        </row>
        <row r="7126">
          <cell r="A7126" t="str">
            <v>917D</v>
          </cell>
        </row>
        <row r="7127">
          <cell r="A7127" t="str">
            <v>917E</v>
          </cell>
        </row>
        <row r="7128">
          <cell r="A7128" t="str">
            <v>917F</v>
          </cell>
        </row>
        <row r="7129">
          <cell r="A7129" t="str">
            <v>9180</v>
          </cell>
        </row>
        <row r="7130">
          <cell r="A7130" t="str">
            <v>9181</v>
          </cell>
        </row>
        <row r="7131">
          <cell r="A7131" t="str">
            <v>9182</v>
          </cell>
        </row>
        <row r="7132">
          <cell r="A7132" t="str">
            <v>9183</v>
          </cell>
        </row>
        <row r="7133">
          <cell r="A7133" t="str">
            <v>9184</v>
          </cell>
        </row>
        <row r="7134">
          <cell r="A7134" t="str">
            <v>9185</v>
          </cell>
        </row>
        <row r="7135">
          <cell r="A7135" t="str">
            <v>9186</v>
          </cell>
        </row>
        <row r="7136">
          <cell r="A7136" t="str">
            <v>9187</v>
          </cell>
        </row>
        <row r="7137">
          <cell r="A7137" t="str">
            <v>9188</v>
          </cell>
        </row>
        <row r="7138">
          <cell r="A7138" t="str">
            <v>9189</v>
          </cell>
        </row>
        <row r="7139">
          <cell r="A7139" t="str">
            <v>918A</v>
          </cell>
        </row>
        <row r="7140">
          <cell r="A7140" t="str">
            <v>918B</v>
          </cell>
        </row>
        <row r="7141">
          <cell r="A7141" t="str">
            <v>918C</v>
          </cell>
        </row>
        <row r="7142">
          <cell r="A7142" t="str">
            <v>918D</v>
          </cell>
        </row>
        <row r="7143">
          <cell r="A7143" t="str">
            <v>918E</v>
          </cell>
        </row>
        <row r="7144">
          <cell r="A7144" t="str">
            <v>918F</v>
          </cell>
        </row>
        <row r="7145">
          <cell r="A7145" t="str">
            <v>9190</v>
          </cell>
        </row>
        <row r="7146">
          <cell r="A7146" t="str">
            <v>9191</v>
          </cell>
        </row>
        <row r="7147">
          <cell r="A7147" t="str">
            <v>9192</v>
          </cell>
        </row>
        <row r="7148">
          <cell r="A7148" t="str">
            <v>9193</v>
          </cell>
        </row>
        <row r="7149">
          <cell r="A7149" t="str">
            <v>9194</v>
          </cell>
        </row>
        <row r="7150">
          <cell r="A7150" t="str">
            <v>9195</v>
          </cell>
        </row>
        <row r="7151">
          <cell r="A7151" t="str">
            <v>9196</v>
          </cell>
        </row>
        <row r="7152">
          <cell r="A7152" t="str">
            <v>9197</v>
          </cell>
        </row>
        <row r="7153">
          <cell r="A7153" t="str">
            <v>9198</v>
          </cell>
        </row>
        <row r="7154">
          <cell r="A7154" t="str">
            <v>9199</v>
          </cell>
        </row>
        <row r="7155">
          <cell r="A7155" t="str">
            <v>919A</v>
          </cell>
        </row>
        <row r="7156">
          <cell r="A7156" t="str">
            <v>919B</v>
          </cell>
        </row>
        <row r="7157">
          <cell r="A7157" t="str">
            <v>919C</v>
          </cell>
        </row>
        <row r="7158">
          <cell r="A7158" t="str">
            <v>919D</v>
          </cell>
        </row>
        <row r="7159">
          <cell r="A7159" t="str">
            <v>919E</v>
          </cell>
        </row>
        <row r="7160">
          <cell r="A7160" t="str">
            <v>919F</v>
          </cell>
        </row>
        <row r="7161">
          <cell r="A7161" t="str">
            <v>91A0</v>
          </cell>
        </row>
        <row r="7162">
          <cell r="A7162" t="str">
            <v>91A1</v>
          </cell>
        </row>
        <row r="7163">
          <cell r="A7163" t="str">
            <v>91A2</v>
          </cell>
        </row>
        <row r="7164">
          <cell r="A7164" t="str">
            <v>91A3</v>
          </cell>
        </row>
        <row r="7165">
          <cell r="A7165" t="str">
            <v>91A4</v>
          </cell>
        </row>
        <row r="7166">
          <cell r="A7166" t="str">
            <v>91A5</v>
          </cell>
        </row>
        <row r="7167">
          <cell r="A7167" t="str">
            <v>91A6</v>
          </cell>
        </row>
        <row r="7168">
          <cell r="A7168" t="str">
            <v>91A7</v>
          </cell>
        </row>
        <row r="7169">
          <cell r="A7169" t="str">
            <v>91A8</v>
          </cell>
        </row>
        <row r="7170">
          <cell r="A7170" t="str">
            <v>91A9</v>
          </cell>
        </row>
        <row r="7171">
          <cell r="A7171" t="str">
            <v>91AA</v>
          </cell>
        </row>
        <row r="7172">
          <cell r="A7172" t="str">
            <v>91AB</v>
          </cell>
        </row>
        <row r="7173">
          <cell r="A7173" t="str">
            <v>91AC</v>
          </cell>
        </row>
        <row r="7174">
          <cell r="A7174" t="str">
            <v>91AD</v>
          </cell>
        </row>
        <row r="7175">
          <cell r="A7175" t="str">
            <v>91AE</v>
          </cell>
        </row>
        <row r="7176">
          <cell r="A7176" t="str">
            <v>91AF</v>
          </cell>
        </row>
        <row r="7177">
          <cell r="A7177" t="str">
            <v>91B0</v>
          </cell>
        </row>
        <row r="7178">
          <cell r="A7178" t="str">
            <v>91B1</v>
          </cell>
        </row>
        <row r="7179">
          <cell r="A7179" t="str">
            <v>91B2</v>
          </cell>
        </row>
        <row r="7180">
          <cell r="A7180" t="str">
            <v>91B3</v>
          </cell>
        </row>
        <row r="7181">
          <cell r="A7181" t="str">
            <v>91B4</v>
          </cell>
        </row>
        <row r="7182">
          <cell r="A7182" t="str">
            <v>91B5</v>
          </cell>
        </row>
        <row r="7183">
          <cell r="A7183" t="str">
            <v>91B6</v>
          </cell>
        </row>
        <row r="7184">
          <cell r="A7184" t="str">
            <v>91B7</v>
          </cell>
        </row>
        <row r="7185">
          <cell r="A7185" t="str">
            <v>91B8</v>
          </cell>
        </row>
        <row r="7186">
          <cell r="A7186" t="str">
            <v>91B9</v>
          </cell>
        </row>
        <row r="7187">
          <cell r="A7187" t="str">
            <v>91BA</v>
          </cell>
        </row>
        <row r="7188">
          <cell r="A7188" t="str">
            <v>91BB</v>
          </cell>
        </row>
        <row r="7189">
          <cell r="A7189" t="str">
            <v>91BC</v>
          </cell>
        </row>
        <row r="7190">
          <cell r="A7190" t="str">
            <v>91BD</v>
          </cell>
        </row>
        <row r="7191">
          <cell r="A7191" t="str">
            <v>91BE</v>
          </cell>
        </row>
        <row r="7192">
          <cell r="A7192" t="str">
            <v>91BF</v>
          </cell>
        </row>
        <row r="7193">
          <cell r="A7193" t="str">
            <v>91C0</v>
          </cell>
        </row>
        <row r="7194">
          <cell r="A7194" t="str">
            <v>91C1</v>
          </cell>
        </row>
        <row r="7195">
          <cell r="A7195" t="str">
            <v>91C2</v>
          </cell>
        </row>
        <row r="7196">
          <cell r="A7196" t="str">
            <v>91C3</v>
          </cell>
        </row>
        <row r="7197">
          <cell r="A7197" t="str">
            <v>91C4</v>
          </cell>
        </row>
        <row r="7198">
          <cell r="A7198" t="str">
            <v>91C6</v>
          </cell>
        </row>
        <row r="7199">
          <cell r="A7199" t="str">
            <v>91C7</v>
          </cell>
        </row>
        <row r="7200">
          <cell r="A7200" t="str">
            <v>91C8</v>
          </cell>
        </row>
        <row r="7201">
          <cell r="A7201" t="str">
            <v>91C9</v>
          </cell>
        </row>
        <row r="7202">
          <cell r="A7202" t="str">
            <v>91CA</v>
          </cell>
        </row>
        <row r="7203">
          <cell r="A7203" t="str">
            <v>91CB</v>
          </cell>
        </row>
        <row r="7204">
          <cell r="A7204" t="str">
            <v>91CC</v>
          </cell>
        </row>
        <row r="7205">
          <cell r="A7205" t="str">
            <v>91CD</v>
          </cell>
        </row>
        <row r="7206">
          <cell r="A7206" t="str">
            <v>91CF</v>
          </cell>
        </row>
        <row r="7207">
          <cell r="A7207" t="str">
            <v>91D0</v>
          </cell>
        </row>
        <row r="7208">
          <cell r="A7208" t="str">
            <v>91D1</v>
          </cell>
        </row>
        <row r="7209">
          <cell r="A7209" t="str">
            <v>91D2</v>
          </cell>
        </row>
        <row r="7210">
          <cell r="A7210" t="str">
            <v>91D3</v>
          </cell>
        </row>
        <row r="7211">
          <cell r="A7211" t="str">
            <v>91D4</v>
          </cell>
        </row>
        <row r="7212">
          <cell r="A7212" t="str">
            <v>91D5</v>
          </cell>
        </row>
        <row r="7213">
          <cell r="A7213" t="str">
            <v>91D6</v>
          </cell>
        </row>
        <row r="7214">
          <cell r="A7214" t="str">
            <v>91D7</v>
          </cell>
        </row>
        <row r="7215">
          <cell r="A7215" t="str">
            <v>91D8</v>
          </cell>
        </row>
        <row r="7216">
          <cell r="A7216" t="str">
            <v>91D9</v>
          </cell>
        </row>
        <row r="7217">
          <cell r="A7217" t="str">
            <v>91DA</v>
          </cell>
        </row>
        <row r="7218">
          <cell r="A7218" t="str">
            <v>91DB</v>
          </cell>
        </row>
        <row r="7219">
          <cell r="A7219" t="str">
            <v>91DC</v>
          </cell>
        </row>
        <row r="7220">
          <cell r="A7220" t="str">
            <v>91DD</v>
          </cell>
        </row>
        <row r="7221">
          <cell r="A7221" t="str">
            <v>91DE</v>
          </cell>
        </row>
        <row r="7222">
          <cell r="A7222" t="str">
            <v>91DF</v>
          </cell>
        </row>
        <row r="7223">
          <cell r="A7223" t="str">
            <v>91E0</v>
          </cell>
        </row>
        <row r="7224">
          <cell r="A7224" t="str">
            <v>91E1</v>
          </cell>
        </row>
        <row r="7225">
          <cell r="A7225" t="str">
            <v>91E2</v>
          </cell>
        </row>
        <row r="7226">
          <cell r="A7226" t="str">
            <v>91E3</v>
          </cell>
        </row>
        <row r="7227">
          <cell r="A7227" t="str">
            <v>91E4</v>
          </cell>
        </row>
        <row r="7228">
          <cell r="A7228" t="str">
            <v>91E5</v>
          </cell>
        </row>
        <row r="7229">
          <cell r="A7229" t="str">
            <v>91E6</v>
          </cell>
        </row>
        <row r="7230">
          <cell r="A7230" t="str">
            <v>91E7</v>
          </cell>
        </row>
        <row r="7231">
          <cell r="A7231" t="str">
            <v>91E8</v>
          </cell>
        </row>
        <row r="7232">
          <cell r="A7232" t="str">
            <v>91E9</v>
          </cell>
        </row>
        <row r="7233">
          <cell r="A7233" t="str">
            <v>91EA</v>
          </cell>
        </row>
        <row r="7234">
          <cell r="A7234" t="str">
            <v>91EB</v>
          </cell>
        </row>
        <row r="7235">
          <cell r="A7235" t="str">
            <v>91EC</v>
          </cell>
        </row>
        <row r="7236">
          <cell r="A7236" t="str">
            <v>91ED</v>
          </cell>
        </row>
        <row r="7237">
          <cell r="A7237" t="str">
            <v>91EE</v>
          </cell>
        </row>
        <row r="7238">
          <cell r="A7238" t="str">
            <v>91EF</v>
          </cell>
        </row>
        <row r="7239">
          <cell r="A7239" t="str">
            <v>91F0</v>
          </cell>
        </row>
        <row r="7240">
          <cell r="A7240" t="str">
            <v>91F1</v>
          </cell>
        </row>
        <row r="7241">
          <cell r="A7241" t="str">
            <v>91F2</v>
          </cell>
        </row>
        <row r="7242">
          <cell r="A7242" t="str">
            <v>91F3</v>
          </cell>
        </row>
        <row r="7243">
          <cell r="A7243" t="str">
            <v>91F4</v>
          </cell>
        </row>
        <row r="7244">
          <cell r="A7244" t="str">
            <v>91F5</v>
          </cell>
        </row>
        <row r="7245">
          <cell r="A7245" t="str">
            <v>91F6</v>
          </cell>
        </row>
        <row r="7246">
          <cell r="A7246" t="str">
            <v>91F7</v>
          </cell>
        </row>
        <row r="7247">
          <cell r="A7247" t="str">
            <v>91F8</v>
          </cell>
        </row>
        <row r="7248">
          <cell r="A7248" t="str">
            <v>91F9</v>
          </cell>
        </row>
        <row r="7249">
          <cell r="A7249" t="str">
            <v>91FA</v>
          </cell>
        </row>
        <row r="7250">
          <cell r="A7250" t="str">
            <v>91FB</v>
          </cell>
        </row>
        <row r="7251">
          <cell r="A7251" t="str">
            <v>91FC</v>
          </cell>
        </row>
        <row r="7252">
          <cell r="A7252" t="str">
            <v>91FD</v>
          </cell>
        </row>
        <row r="7253">
          <cell r="A7253" t="str">
            <v>91FE</v>
          </cell>
        </row>
        <row r="7254">
          <cell r="A7254" t="str">
            <v>91FF</v>
          </cell>
        </row>
        <row r="7255">
          <cell r="A7255" t="str">
            <v>9200</v>
          </cell>
        </row>
        <row r="7256">
          <cell r="A7256" t="str">
            <v>9201</v>
          </cell>
        </row>
        <row r="7257">
          <cell r="A7257" t="str">
            <v>9202</v>
          </cell>
        </row>
        <row r="7258">
          <cell r="A7258" t="str">
            <v>9203</v>
          </cell>
        </row>
        <row r="7259">
          <cell r="A7259" t="str">
            <v>9204</v>
          </cell>
        </row>
        <row r="7260">
          <cell r="A7260" t="str">
            <v>9205</v>
          </cell>
        </row>
        <row r="7261">
          <cell r="A7261" t="str">
            <v>9206</v>
          </cell>
        </row>
        <row r="7262">
          <cell r="A7262" t="str">
            <v>9207</v>
          </cell>
        </row>
        <row r="7263">
          <cell r="A7263" t="str">
            <v>9208</v>
          </cell>
        </row>
        <row r="7264">
          <cell r="A7264" t="str">
            <v>9209</v>
          </cell>
        </row>
        <row r="7265">
          <cell r="A7265" t="str">
            <v>920A</v>
          </cell>
        </row>
        <row r="7266">
          <cell r="A7266" t="str">
            <v>920B</v>
          </cell>
        </row>
        <row r="7267">
          <cell r="A7267" t="str">
            <v>920C</v>
          </cell>
        </row>
        <row r="7268">
          <cell r="A7268" t="str">
            <v>920D</v>
          </cell>
        </row>
        <row r="7269">
          <cell r="A7269" t="str">
            <v>920E</v>
          </cell>
        </row>
        <row r="7270">
          <cell r="A7270" t="str">
            <v>920F</v>
          </cell>
        </row>
        <row r="7271">
          <cell r="A7271" t="str">
            <v>9210</v>
          </cell>
        </row>
        <row r="7272">
          <cell r="A7272" t="str">
            <v>9211</v>
          </cell>
        </row>
        <row r="7273">
          <cell r="A7273" t="str">
            <v>9212</v>
          </cell>
        </row>
        <row r="7274">
          <cell r="A7274" t="str">
            <v>9213</v>
          </cell>
        </row>
        <row r="7275">
          <cell r="A7275" t="str">
            <v>9214</v>
          </cell>
        </row>
        <row r="7276">
          <cell r="A7276" t="str">
            <v>9215</v>
          </cell>
        </row>
        <row r="7277">
          <cell r="A7277" t="str">
            <v>9216</v>
          </cell>
        </row>
        <row r="7278">
          <cell r="A7278" t="str">
            <v>9217</v>
          </cell>
        </row>
        <row r="7279">
          <cell r="A7279" t="str">
            <v>9218</v>
          </cell>
        </row>
        <row r="7280">
          <cell r="A7280" t="str">
            <v>9219</v>
          </cell>
        </row>
        <row r="7281">
          <cell r="A7281" t="str">
            <v>921A</v>
          </cell>
        </row>
        <row r="7282">
          <cell r="A7282" t="str">
            <v>921B</v>
          </cell>
        </row>
        <row r="7283">
          <cell r="A7283" t="str">
            <v>921C</v>
          </cell>
        </row>
        <row r="7284">
          <cell r="A7284" t="str">
            <v>921D</v>
          </cell>
        </row>
        <row r="7285">
          <cell r="A7285" t="str">
            <v>921E</v>
          </cell>
        </row>
        <row r="7286">
          <cell r="A7286" t="str">
            <v>921F</v>
          </cell>
        </row>
        <row r="7287">
          <cell r="A7287" t="str">
            <v>9220</v>
          </cell>
        </row>
        <row r="7288">
          <cell r="A7288" t="str">
            <v>9221</v>
          </cell>
        </row>
        <row r="7289">
          <cell r="A7289" t="str">
            <v>9222</v>
          </cell>
        </row>
        <row r="7290">
          <cell r="A7290" t="str">
            <v>9223</v>
          </cell>
        </row>
        <row r="7291">
          <cell r="A7291" t="str">
            <v>9224</v>
          </cell>
        </row>
        <row r="7292">
          <cell r="A7292" t="str">
            <v>9225</v>
          </cell>
        </row>
        <row r="7293">
          <cell r="A7293" t="str">
            <v>9226</v>
          </cell>
        </row>
        <row r="7294">
          <cell r="A7294" t="str">
            <v>9227</v>
          </cell>
        </row>
        <row r="7295">
          <cell r="A7295" t="str">
            <v>9228</v>
          </cell>
        </row>
        <row r="7296">
          <cell r="A7296" t="str">
            <v>9229</v>
          </cell>
        </row>
        <row r="7297">
          <cell r="A7297" t="str">
            <v>922A</v>
          </cell>
        </row>
        <row r="7298">
          <cell r="A7298" t="str">
            <v>922B</v>
          </cell>
        </row>
        <row r="7299">
          <cell r="A7299" t="str">
            <v>922C</v>
          </cell>
        </row>
        <row r="7300">
          <cell r="A7300" t="str">
            <v>922D</v>
          </cell>
        </row>
        <row r="7301">
          <cell r="A7301" t="str">
            <v>922E</v>
          </cell>
        </row>
        <row r="7302">
          <cell r="A7302" t="str">
            <v>922F</v>
          </cell>
        </row>
        <row r="7303">
          <cell r="A7303" t="str">
            <v>9230</v>
          </cell>
        </row>
        <row r="7304">
          <cell r="A7304" t="str">
            <v>9231</v>
          </cell>
        </row>
        <row r="7305">
          <cell r="A7305" t="str">
            <v>9232</v>
          </cell>
        </row>
        <row r="7306">
          <cell r="A7306" t="str">
            <v>9233</v>
          </cell>
        </row>
        <row r="7307">
          <cell r="A7307" t="str">
            <v>9234</v>
          </cell>
        </row>
        <row r="7308">
          <cell r="A7308" t="str">
            <v>9235</v>
          </cell>
        </row>
        <row r="7309">
          <cell r="A7309" t="str">
            <v>9236</v>
          </cell>
        </row>
        <row r="7310">
          <cell r="A7310" t="str">
            <v>9237</v>
          </cell>
        </row>
        <row r="7311">
          <cell r="A7311" t="str">
            <v>9238</v>
          </cell>
        </row>
        <row r="7312">
          <cell r="A7312" t="str">
            <v>9239</v>
          </cell>
        </row>
        <row r="7313">
          <cell r="A7313" t="str">
            <v>923A</v>
          </cell>
        </row>
        <row r="7314">
          <cell r="A7314" t="str">
            <v>923B</v>
          </cell>
        </row>
        <row r="7315">
          <cell r="A7315" t="str">
            <v>923C</v>
          </cell>
        </row>
        <row r="7316">
          <cell r="A7316" t="str">
            <v>923D</v>
          </cell>
        </row>
        <row r="7317">
          <cell r="A7317" t="str">
            <v>923E</v>
          </cell>
        </row>
        <row r="7318">
          <cell r="A7318" t="str">
            <v>923F</v>
          </cell>
        </row>
        <row r="7319">
          <cell r="A7319" t="str">
            <v>9240</v>
          </cell>
        </row>
        <row r="7320">
          <cell r="A7320" t="str">
            <v>9241</v>
          </cell>
        </row>
        <row r="7321">
          <cell r="A7321" t="str">
            <v>9242</v>
          </cell>
        </row>
        <row r="7322">
          <cell r="A7322" t="str">
            <v>9243</v>
          </cell>
        </row>
        <row r="7323">
          <cell r="A7323" t="str">
            <v>9244</v>
          </cell>
        </row>
        <row r="7324">
          <cell r="A7324" t="str">
            <v>9245</v>
          </cell>
        </row>
        <row r="7325">
          <cell r="A7325" t="str">
            <v>9246</v>
          </cell>
        </row>
        <row r="7326">
          <cell r="A7326" t="str">
            <v>9247</v>
          </cell>
        </row>
        <row r="7327">
          <cell r="A7327" t="str">
            <v>9248</v>
          </cell>
        </row>
        <row r="7328">
          <cell r="A7328" t="str">
            <v>9249</v>
          </cell>
        </row>
        <row r="7329">
          <cell r="A7329" t="str">
            <v>924A</v>
          </cell>
        </row>
        <row r="7330">
          <cell r="A7330" t="str">
            <v>924B</v>
          </cell>
        </row>
        <row r="7331">
          <cell r="A7331" t="str">
            <v>924C</v>
          </cell>
        </row>
        <row r="7332">
          <cell r="A7332" t="str">
            <v>924D</v>
          </cell>
        </row>
        <row r="7333">
          <cell r="A7333" t="str">
            <v>924E</v>
          </cell>
        </row>
        <row r="7334">
          <cell r="A7334" t="str">
            <v>924F</v>
          </cell>
        </row>
        <row r="7335">
          <cell r="A7335" t="str">
            <v>9250</v>
          </cell>
        </row>
        <row r="7336">
          <cell r="A7336" t="str">
            <v>9251</v>
          </cell>
        </row>
        <row r="7337">
          <cell r="A7337" t="str">
            <v>9252</v>
          </cell>
        </row>
        <row r="7338">
          <cell r="A7338" t="str">
            <v>9253</v>
          </cell>
        </row>
        <row r="7339">
          <cell r="A7339" t="str">
            <v>9254</v>
          </cell>
        </row>
        <row r="7340">
          <cell r="A7340" t="str">
            <v>9255</v>
          </cell>
        </row>
        <row r="7341">
          <cell r="A7341" t="str">
            <v>9256</v>
          </cell>
        </row>
        <row r="7342">
          <cell r="A7342" t="str">
            <v>9257</v>
          </cell>
        </row>
        <row r="7343">
          <cell r="A7343" t="str">
            <v>9258</v>
          </cell>
        </row>
        <row r="7344">
          <cell r="A7344" t="str">
            <v>9259</v>
          </cell>
        </row>
        <row r="7345">
          <cell r="A7345" t="str">
            <v>925A</v>
          </cell>
        </row>
        <row r="7346">
          <cell r="A7346" t="str">
            <v>925B</v>
          </cell>
        </row>
        <row r="7347">
          <cell r="A7347" t="str">
            <v>925C</v>
          </cell>
        </row>
        <row r="7348">
          <cell r="A7348" t="str">
            <v>925D</v>
          </cell>
        </row>
        <row r="7349">
          <cell r="A7349" t="str">
            <v>925E</v>
          </cell>
        </row>
        <row r="7350">
          <cell r="A7350" t="str">
            <v>925F</v>
          </cell>
        </row>
        <row r="7351">
          <cell r="A7351" t="str">
            <v>9260</v>
          </cell>
        </row>
        <row r="7352">
          <cell r="A7352" t="str">
            <v>9261</v>
          </cell>
        </row>
        <row r="7353">
          <cell r="A7353" t="str">
            <v>9262</v>
          </cell>
        </row>
        <row r="7354">
          <cell r="A7354" t="str">
            <v>9263</v>
          </cell>
        </row>
        <row r="7355">
          <cell r="A7355" t="str">
            <v>9264</v>
          </cell>
        </row>
        <row r="7356">
          <cell r="A7356" t="str">
            <v>9265</v>
          </cell>
        </row>
        <row r="7357">
          <cell r="A7357" t="str">
            <v>9266</v>
          </cell>
        </row>
        <row r="7358">
          <cell r="A7358" t="str">
            <v>9267</v>
          </cell>
        </row>
        <row r="7359">
          <cell r="A7359" t="str">
            <v>9268</v>
          </cell>
        </row>
        <row r="7360">
          <cell r="A7360" t="str">
            <v>9269</v>
          </cell>
        </row>
        <row r="7361">
          <cell r="A7361" t="str">
            <v>926A</v>
          </cell>
        </row>
        <row r="7362">
          <cell r="A7362" t="str">
            <v>926B</v>
          </cell>
        </row>
        <row r="7363">
          <cell r="A7363" t="str">
            <v>926C</v>
          </cell>
        </row>
        <row r="7364">
          <cell r="A7364" t="str">
            <v>926D</v>
          </cell>
        </row>
        <row r="7365">
          <cell r="A7365" t="str">
            <v>926E</v>
          </cell>
        </row>
        <row r="7366">
          <cell r="A7366" t="str">
            <v>926F</v>
          </cell>
        </row>
        <row r="7367">
          <cell r="A7367" t="str">
            <v>9270</v>
          </cell>
        </row>
        <row r="7368">
          <cell r="A7368" t="str">
            <v>9271</v>
          </cell>
        </row>
        <row r="7369">
          <cell r="A7369" t="str">
            <v>9272</v>
          </cell>
        </row>
        <row r="7370">
          <cell r="A7370" t="str">
            <v>9273</v>
          </cell>
        </row>
        <row r="7371">
          <cell r="A7371" t="str">
            <v>9274</v>
          </cell>
        </row>
        <row r="7372">
          <cell r="A7372" t="str">
            <v>9275</v>
          </cell>
        </row>
        <row r="7373">
          <cell r="A7373" t="str">
            <v>9276</v>
          </cell>
        </row>
        <row r="7374">
          <cell r="A7374" t="str">
            <v>9277</v>
          </cell>
        </row>
        <row r="7375">
          <cell r="A7375" t="str">
            <v>9278</v>
          </cell>
        </row>
        <row r="7376">
          <cell r="A7376" t="str">
            <v>9279</v>
          </cell>
        </row>
        <row r="7377">
          <cell r="A7377" t="str">
            <v>927A</v>
          </cell>
        </row>
        <row r="7378">
          <cell r="A7378" t="str">
            <v>927B</v>
          </cell>
        </row>
        <row r="7379">
          <cell r="A7379" t="str">
            <v>927C</v>
          </cell>
        </row>
        <row r="7380">
          <cell r="A7380" t="str">
            <v>927D</v>
          </cell>
        </row>
        <row r="7381">
          <cell r="A7381" t="str">
            <v>927E</v>
          </cell>
        </row>
        <row r="7382">
          <cell r="A7382" t="str">
            <v>927F</v>
          </cell>
        </row>
        <row r="7383">
          <cell r="A7383" t="str">
            <v>9280</v>
          </cell>
        </row>
        <row r="7384">
          <cell r="A7384" t="str">
            <v>9281</v>
          </cell>
        </row>
        <row r="7385">
          <cell r="A7385" t="str">
            <v>9282</v>
          </cell>
        </row>
        <row r="7386">
          <cell r="A7386" t="str">
            <v>9283</v>
          </cell>
        </row>
        <row r="7387">
          <cell r="A7387" t="str">
            <v>9284</v>
          </cell>
        </row>
        <row r="7388">
          <cell r="A7388" t="str">
            <v>9285</v>
          </cell>
        </row>
        <row r="7389">
          <cell r="A7389" t="str">
            <v>9286</v>
          </cell>
        </row>
        <row r="7390">
          <cell r="A7390" t="str">
            <v>9287</v>
          </cell>
        </row>
        <row r="7391">
          <cell r="A7391" t="str">
            <v>9288</v>
          </cell>
        </row>
        <row r="7392">
          <cell r="A7392" t="str">
            <v>9289</v>
          </cell>
        </row>
        <row r="7393">
          <cell r="A7393" t="str">
            <v>928A</v>
          </cell>
        </row>
        <row r="7394">
          <cell r="A7394" t="str">
            <v>928B</v>
          </cell>
        </row>
        <row r="7395">
          <cell r="A7395" t="str">
            <v>928C</v>
          </cell>
        </row>
        <row r="7396">
          <cell r="A7396" t="str">
            <v>928D</v>
          </cell>
        </row>
        <row r="7397">
          <cell r="A7397" t="str">
            <v>928E</v>
          </cell>
        </row>
        <row r="7398">
          <cell r="A7398" t="str">
            <v>928F</v>
          </cell>
        </row>
        <row r="7399">
          <cell r="A7399" t="str">
            <v>9290</v>
          </cell>
        </row>
        <row r="7400">
          <cell r="A7400" t="str">
            <v>9291</v>
          </cell>
        </row>
        <row r="7401">
          <cell r="A7401" t="str">
            <v>9292</v>
          </cell>
        </row>
        <row r="7402">
          <cell r="A7402" t="str">
            <v>9293</v>
          </cell>
        </row>
        <row r="7403">
          <cell r="A7403" t="str">
            <v>9294</v>
          </cell>
        </row>
        <row r="7404">
          <cell r="A7404" t="str">
            <v>9295</v>
          </cell>
        </row>
        <row r="7405">
          <cell r="A7405" t="str">
            <v>9296</v>
          </cell>
        </row>
        <row r="7406">
          <cell r="A7406" t="str">
            <v>9297</v>
          </cell>
        </row>
        <row r="7407">
          <cell r="A7407" t="str">
            <v>9298</v>
          </cell>
        </row>
        <row r="7408">
          <cell r="A7408" t="str">
            <v>9299</v>
          </cell>
        </row>
        <row r="7409">
          <cell r="A7409" t="str">
            <v>929A</v>
          </cell>
        </row>
        <row r="7410">
          <cell r="A7410" t="str">
            <v>929B</v>
          </cell>
        </row>
        <row r="7411">
          <cell r="A7411" t="str">
            <v>929C</v>
          </cell>
        </row>
        <row r="7412">
          <cell r="A7412" t="str">
            <v>929D</v>
          </cell>
        </row>
        <row r="7413">
          <cell r="A7413" t="str">
            <v>929E</v>
          </cell>
        </row>
        <row r="7414">
          <cell r="A7414" t="str">
            <v>929F</v>
          </cell>
        </row>
        <row r="7415">
          <cell r="A7415" t="str">
            <v>92A0</v>
          </cell>
        </row>
        <row r="7416">
          <cell r="A7416" t="str">
            <v>92A1</v>
          </cell>
        </row>
        <row r="7417">
          <cell r="A7417" t="str">
            <v>92A2</v>
          </cell>
        </row>
        <row r="7418">
          <cell r="A7418" t="str">
            <v>92A3</v>
          </cell>
        </row>
        <row r="7419">
          <cell r="A7419" t="str">
            <v>92A4</v>
          </cell>
        </row>
        <row r="7420">
          <cell r="A7420" t="str">
            <v>92A5</v>
          </cell>
        </row>
        <row r="7421">
          <cell r="A7421" t="str">
            <v>92A6</v>
          </cell>
        </row>
        <row r="7422">
          <cell r="A7422" t="str">
            <v>92A7</v>
          </cell>
        </row>
        <row r="7423">
          <cell r="A7423" t="str">
            <v>92A8</v>
          </cell>
        </row>
        <row r="7424">
          <cell r="A7424" t="str">
            <v>92A9</v>
          </cell>
        </row>
        <row r="7425">
          <cell r="A7425" t="str">
            <v>92AA</v>
          </cell>
        </row>
        <row r="7426">
          <cell r="A7426" t="str">
            <v>92AB</v>
          </cell>
        </row>
        <row r="7427">
          <cell r="A7427" t="str">
            <v>92AC</v>
          </cell>
        </row>
        <row r="7428">
          <cell r="A7428" t="str">
            <v>92AD</v>
          </cell>
        </row>
        <row r="7429">
          <cell r="A7429" t="str">
            <v>92AE</v>
          </cell>
        </row>
        <row r="7430">
          <cell r="A7430" t="str">
            <v>92AF</v>
          </cell>
        </row>
        <row r="7431">
          <cell r="A7431" t="str">
            <v>92B0</v>
          </cell>
        </row>
        <row r="7432">
          <cell r="A7432" t="str">
            <v>92B1</v>
          </cell>
        </row>
        <row r="7433">
          <cell r="A7433" t="str">
            <v>92B2</v>
          </cell>
        </row>
        <row r="7434">
          <cell r="A7434" t="str">
            <v>92B3</v>
          </cell>
        </row>
        <row r="7435">
          <cell r="A7435" t="str">
            <v>92B4</v>
          </cell>
        </row>
        <row r="7436">
          <cell r="A7436" t="str">
            <v>92B5</v>
          </cell>
        </row>
        <row r="7437">
          <cell r="A7437" t="str">
            <v>92B6</v>
          </cell>
        </row>
        <row r="7438">
          <cell r="A7438" t="str">
            <v>92B7</v>
          </cell>
        </row>
        <row r="7439">
          <cell r="A7439" t="str">
            <v>92B8</v>
          </cell>
        </row>
        <row r="7440">
          <cell r="A7440" t="str">
            <v>92B9</v>
          </cell>
        </row>
        <row r="7441">
          <cell r="A7441" t="str">
            <v>92BA</v>
          </cell>
        </row>
        <row r="7442">
          <cell r="A7442" t="str">
            <v>92BB</v>
          </cell>
        </row>
        <row r="7443">
          <cell r="A7443" t="str">
            <v>92BC</v>
          </cell>
        </row>
        <row r="7444">
          <cell r="A7444" t="str">
            <v>92BD</v>
          </cell>
        </row>
        <row r="7445">
          <cell r="A7445" t="str">
            <v>92BE</v>
          </cell>
        </row>
        <row r="7446">
          <cell r="A7446" t="str">
            <v>92BF</v>
          </cell>
        </row>
        <row r="7447">
          <cell r="A7447" t="str">
            <v>92C0</v>
          </cell>
        </row>
        <row r="7448">
          <cell r="A7448" t="str">
            <v>92C1</v>
          </cell>
        </row>
        <row r="7449">
          <cell r="A7449" t="str">
            <v>92C2</v>
          </cell>
        </row>
        <row r="7450">
          <cell r="A7450" t="str">
            <v>92C3</v>
          </cell>
        </row>
        <row r="7451">
          <cell r="A7451" t="str">
            <v>92C4</v>
          </cell>
        </row>
        <row r="7452">
          <cell r="A7452" t="str">
            <v>92C5</v>
          </cell>
        </row>
        <row r="7453">
          <cell r="A7453" t="str">
            <v>92C6</v>
          </cell>
        </row>
        <row r="7454">
          <cell r="A7454" t="str">
            <v>92C7</v>
          </cell>
        </row>
        <row r="7455">
          <cell r="A7455" t="str">
            <v>92C8</v>
          </cell>
        </row>
        <row r="7456">
          <cell r="A7456" t="str">
            <v>92C9</v>
          </cell>
        </row>
        <row r="7457">
          <cell r="A7457" t="str">
            <v>92CA</v>
          </cell>
        </row>
        <row r="7458">
          <cell r="A7458" t="str">
            <v>92CB</v>
          </cell>
        </row>
        <row r="7459">
          <cell r="A7459" t="str">
            <v>92CC</v>
          </cell>
        </row>
        <row r="7460">
          <cell r="A7460" t="str">
            <v>92CD</v>
          </cell>
        </row>
        <row r="7461">
          <cell r="A7461" t="str">
            <v>92CE</v>
          </cell>
        </row>
        <row r="7462">
          <cell r="A7462" t="str">
            <v>92CF</v>
          </cell>
        </row>
        <row r="7463">
          <cell r="A7463" t="str">
            <v>92D0</v>
          </cell>
        </row>
        <row r="7464">
          <cell r="A7464" t="str">
            <v>92D1</v>
          </cell>
        </row>
        <row r="7465">
          <cell r="A7465" t="str">
            <v>92D2</v>
          </cell>
        </row>
        <row r="7466">
          <cell r="A7466" t="str">
            <v>92D3</v>
          </cell>
        </row>
        <row r="7467">
          <cell r="A7467" t="str">
            <v>92D4</v>
          </cell>
        </row>
        <row r="7468">
          <cell r="A7468" t="str">
            <v>92D5</v>
          </cell>
        </row>
        <row r="7469">
          <cell r="A7469" t="str">
            <v>92D6</v>
          </cell>
        </row>
        <row r="7470">
          <cell r="A7470" t="str">
            <v>92D7</v>
          </cell>
        </row>
        <row r="7471">
          <cell r="A7471" t="str">
            <v>92D8</v>
          </cell>
        </row>
        <row r="7472">
          <cell r="A7472" t="str">
            <v>92D9</v>
          </cell>
        </row>
        <row r="7473">
          <cell r="A7473" t="str">
            <v>92DA</v>
          </cell>
        </row>
        <row r="7474">
          <cell r="A7474" t="str">
            <v>92DB</v>
          </cell>
        </row>
        <row r="7475">
          <cell r="A7475" t="str">
            <v>92DC</v>
          </cell>
        </row>
        <row r="7476">
          <cell r="A7476" t="str">
            <v>92DD</v>
          </cell>
        </row>
        <row r="7477">
          <cell r="A7477" t="str">
            <v>92DE</v>
          </cell>
        </row>
        <row r="7478">
          <cell r="A7478" t="str">
            <v>92DF</v>
          </cell>
        </row>
        <row r="7479">
          <cell r="A7479" t="str">
            <v>92E0</v>
          </cell>
        </row>
        <row r="7480">
          <cell r="A7480" t="str">
            <v>92E1</v>
          </cell>
        </row>
        <row r="7481">
          <cell r="A7481" t="str">
            <v>92E2</v>
          </cell>
        </row>
        <row r="7482">
          <cell r="A7482" t="str">
            <v>92E3</v>
          </cell>
        </row>
        <row r="7483">
          <cell r="A7483" t="str">
            <v>92E4</v>
          </cell>
        </row>
        <row r="7484">
          <cell r="A7484" t="str">
            <v>92E5</v>
          </cell>
        </row>
        <row r="7485">
          <cell r="A7485" t="str">
            <v>92E6</v>
          </cell>
        </row>
        <row r="7486">
          <cell r="A7486" t="str">
            <v>92E7</v>
          </cell>
        </row>
        <row r="7487">
          <cell r="A7487" t="str">
            <v>92E8</v>
          </cell>
        </row>
        <row r="7488">
          <cell r="A7488" t="str">
            <v>92E9</v>
          </cell>
        </row>
        <row r="7489">
          <cell r="A7489" t="str">
            <v>92EA</v>
          </cell>
        </row>
        <row r="7490">
          <cell r="A7490" t="str">
            <v>92EB</v>
          </cell>
        </row>
        <row r="7491">
          <cell r="A7491" t="str">
            <v>92EC</v>
          </cell>
        </row>
        <row r="7492">
          <cell r="A7492" t="str">
            <v>92ED</v>
          </cell>
        </row>
        <row r="7493">
          <cell r="A7493" t="str">
            <v>92EE</v>
          </cell>
        </row>
        <row r="7494">
          <cell r="A7494" t="str">
            <v>92EF</v>
          </cell>
        </row>
        <row r="7495">
          <cell r="A7495" t="str">
            <v>92F0</v>
          </cell>
        </row>
        <row r="7496">
          <cell r="A7496" t="str">
            <v>92F1</v>
          </cell>
        </row>
        <row r="7497">
          <cell r="A7497" t="str">
            <v>92F2</v>
          </cell>
        </row>
        <row r="7498">
          <cell r="A7498" t="str">
            <v>92F3</v>
          </cell>
        </row>
        <row r="7499">
          <cell r="A7499" t="str">
            <v>92F4</v>
          </cell>
        </row>
        <row r="7500">
          <cell r="A7500" t="str">
            <v>92F5</v>
          </cell>
        </row>
        <row r="7501">
          <cell r="A7501" t="str">
            <v>92F6</v>
          </cell>
        </row>
        <row r="7502">
          <cell r="A7502" t="str">
            <v>92F7</v>
          </cell>
        </row>
        <row r="7503">
          <cell r="A7503" t="str">
            <v>92F8</v>
          </cell>
        </row>
        <row r="7504">
          <cell r="A7504" t="str">
            <v>92F9</v>
          </cell>
        </row>
        <row r="7505">
          <cell r="A7505" t="str">
            <v>92FA</v>
          </cell>
        </row>
        <row r="7506">
          <cell r="A7506" t="str">
            <v>92FB</v>
          </cell>
        </row>
        <row r="7507">
          <cell r="A7507" t="str">
            <v>92FC</v>
          </cell>
        </row>
        <row r="7508">
          <cell r="A7508" t="str">
            <v>92FD</v>
          </cell>
        </row>
        <row r="7509">
          <cell r="A7509" t="str">
            <v>92FE</v>
          </cell>
        </row>
        <row r="7510">
          <cell r="A7510" t="str">
            <v>92FF</v>
          </cell>
        </row>
        <row r="7511">
          <cell r="A7511" t="str">
            <v>9300</v>
          </cell>
        </row>
        <row r="7512">
          <cell r="A7512" t="str">
            <v>9301</v>
          </cell>
        </row>
        <row r="7513">
          <cell r="A7513" t="str">
            <v>9302</v>
          </cell>
        </row>
        <row r="7514">
          <cell r="A7514" t="str">
            <v>9303</v>
          </cell>
        </row>
        <row r="7515">
          <cell r="A7515" t="str">
            <v>9304</v>
          </cell>
        </row>
        <row r="7516">
          <cell r="A7516" t="str">
            <v>9305</v>
          </cell>
        </row>
        <row r="7517">
          <cell r="A7517" t="str">
            <v>9306</v>
          </cell>
        </row>
        <row r="7518">
          <cell r="A7518" t="str">
            <v>9307</v>
          </cell>
        </row>
        <row r="7519">
          <cell r="A7519" t="str">
            <v>9308</v>
          </cell>
        </row>
        <row r="7520">
          <cell r="A7520" t="str">
            <v>9309</v>
          </cell>
        </row>
        <row r="7521">
          <cell r="A7521" t="str">
            <v>930A</v>
          </cell>
        </row>
        <row r="7522">
          <cell r="A7522" t="str">
            <v>930B</v>
          </cell>
        </row>
        <row r="7523">
          <cell r="A7523" t="str">
            <v>930C</v>
          </cell>
        </row>
        <row r="7524">
          <cell r="A7524" t="str">
            <v>930D</v>
          </cell>
        </row>
        <row r="7525">
          <cell r="A7525" t="str">
            <v>930E</v>
          </cell>
        </row>
        <row r="7526">
          <cell r="A7526" t="str">
            <v>930F</v>
          </cell>
        </row>
        <row r="7527">
          <cell r="A7527" t="str">
            <v>9310</v>
          </cell>
        </row>
        <row r="7528">
          <cell r="A7528" t="str">
            <v>9311</v>
          </cell>
        </row>
        <row r="7529">
          <cell r="A7529" t="str">
            <v>9312</v>
          </cell>
        </row>
        <row r="7530">
          <cell r="A7530" t="str">
            <v>9313</v>
          </cell>
        </row>
        <row r="7531">
          <cell r="A7531" t="str">
            <v>9314</v>
          </cell>
        </row>
        <row r="7532">
          <cell r="A7532" t="str">
            <v>9315</v>
          </cell>
        </row>
        <row r="7533">
          <cell r="A7533" t="str">
            <v>9316</v>
          </cell>
        </row>
        <row r="7534">
          <cell r="A7534" t="str">
            <v>9317</v>
          </cell>
        </row>
        <row r="7535">
          <cell r="A7535" t="str">
            <v>9318</v>
          </cell>
        </row>
        <row r="7536">
          <cell r="A7536" t="str">
            <v>9319</v>
          </cell>
        </row>
        <row r="7537">
          <cell r="A7537" t="str">
            <v>931A</v>
          </cell>
        </row>
        <row r="7538">
          <cell r="A7538" t="str">
            <v>931B</v>
          </cell>
        </row>
        <row r="7539">
          <cell r="A7539" t="str">
            <v>931C</v>
          </cell>
        </row>
        <row r="7540">
          <cell r="A7540" t="str">
            <v>931D</v>
          </cell>
        </row>
        <row r="7541">
          <cell r="A7541" t="str">
            <v>931E</v>
          </cell>
        </row>
        <row r="7542">
          <cell r="A7542" t="str">
            <v>931F</v>
          </cell>
        </row>
        <row r="7543">
          <cell r="A7543" t="str">
            <v>9320</v>
          </cell>
        </row>
        <row r="7544">
          <cell r="A7544" t="str">
            <v>9321</v>
          </cell>
        </row>
        <row r="7545">
          <cell r="A7545" t="str">
            <v>9322</v>
          </cell>
        </row>
        <row r="7546">
          <cell r="A7546" t="str">
            <v>9323</v>
          </cell>
        </row>
        <row r="7547">
          <cell r="A7547" t="str">
            <v>9324</v>
          </cell>
        </row>
        <row r="7548">
          <cell r="A7548" t="str">
            <v>9325</v>
          </cell>
        </row>
        <row r="7549">
          <cell r="A7549" t="str">
            <v>9326</v>
          </cell>
        </row>
        <row r="7550">
          <cell r="A7550" t="str">
            <v>9327</v>
          </cell>
        </row>
        <row r="7551">
          <cell r="A7551" t="str">
            <v>9328</v>
          </cell>
        </row>
        <row r="7552">
          <cell r="A7552" t="str">
            <v>9329</v>
          </cell>
        </row>
        <row r="7553">
          <cell r="A7553" t="str">
            <v>932A</v>
          </cell>
        </row>
        <row r="7554">
          <cell r="A7554" t="str">
            <v>932B</v>
          </cell>
        </row>
        <row r="7555">
          <cell r="A7555" t="str">
            <v>932C</v>
          </cell>
        </row>
        <row r="7556">
          <cell r="A7556" t="str">
            <v>932D</v>
          </cell>
        </row>
        <row r="7557">
          <cell r="A7557" t="str">
            <v>932E</v>
          </cell>
        </row>
        <row r="7558">
          <cell r="A7558" t="str">
            <v>932F</v>
          </cell>
        </row>
        <row r="7559">
          <cell r="A7559" t="str">
            <v>9330</v>
          </cell>
        </row>
        <row r="7560">
          <cell r="A7560" t="str">
            <v>9331</v>
          </cell>
        </row>
        <row r="7561">
          <cell r="A7561" t="str">
            <v>9332</v>
          </cell>
        </row>
        <row r="7562">
          <cell r="A7562" t="str">
            <v>9333</v>
          </cell>
        </row>
        <row r="7563">
          <cell r="A7563" t="str">
            <v>9334</v>
          </cell>
        </row>
        <row r="7564">
          <cell r="A7564" t="str">
            <v>9335</v>
          </cell>
        </row>
        <row r="7565">
          <cell r="A7565" t="str">
            <v>9336</v>
          </cell>
        </row>
        <row r="7566">
          <cell r="A7566" t="str">
            <v>9337</v>
          </cell>
        </row>
        <row r="7567">
          <cell r="A7567" t="str">
            <v>9338</v>
          </cell>
        </row>
        <row r="7568">
          <cell r="A7568" t="str">
            <v>9339</v>
          </cell>
        </row>
        <row r="7569">
          <cell r="A7569" t="str">
            <v>933A</v>
          </cell>
        </row>
        <row r="7570">
          <cell r="A7570" t="str">
            <v>933B</v>
          </cell>
        </row>
        <row r="7571">
          <cell r="A7571" t="str">
            <v>933C</v>
          </cell>
        </row>
        <row r="7572">
          <cell r="A7572" t="str">
            <v>933D</v>
          </cell>
        </row>
        <row r="7573">
          <cell r="A7573" t="str">
            <v>933E</v>
          </cell>
        </row>
        <row r="7574">
          <cell r="A7574" t="str">
            <v>933F</v>
          </cell>
        </row>
        <row r="7575">
          <cell r="A7575" t="str">
            <v>9340</v>
          </cell>
        </row>
        <row r="7576">
          <cell r="A7576" t="str">
            <v>9341</v>
          </cell>
        </row>
        <row r="7577">
          <cell r="A7577" t="str">
            <v>9342</v>
          </cell>
        </row>
        <row r="7578">
          <cell r="A7578" t="str">
            <v>9343</v>
          </cell>
        </row>
        <row r="7579">
          <cell r="A7579" t="str">
            <v>9344</v>
          </cell>
        </row>
        <row r="7580">
          <cell r="A7580" t="str">
            <v>9345</v>
          </cell>
        </row>
        <row r="7581">
          <cell r="A7581" t="str">
            <v>9346</v>
          </cell>
        </row>
        <row r="7582">
          <cell r="A7582" t="str">
            <v>9347</v>
          </cell>
        </row>
        <row r="7583">
          <cell r="A7583" t="str">
            <v>9348</v>
          </cell>
        </row>
        <row r="7584">
          <cell r="A7584" t="str">
            <v>9349</v>
          </cell>
        </row>
        <row r="7585">
          <cell r="A7585" t="str">
            <v>934A</v>
          </cell>
        </row>
        <row r="7586">
          <cell r="A7586" t="str">
            <v>934B</v>
          </cell>
        </row>
        <row r="7587">
          <cell r="A7587" t="str">
            <v>934C</v>
          </cell>
        </row>
        <row r="7588">
          <cell r="A7588" t="str">
            <v>934D</v>
          </cell>
        </row>
        <row r="7589">
          <cell r="A7589" t="str">
            <v>934E</v>
          </cell>
        </row>
        <row r="7590">
          <cell r="A7590" t="str">
            <v>934F</v>
          </cell>
        </row>
        <row r="7591">
          <cell r="A7591" t="str">
            <v>9350</v>
          </cell>
        </row>
        <row r="7592">
          <cell r="A7592" t="str">
            <v>9351</v>
          </cell>
        </row>
        <row r="7593">
          <cell r="A7593" t="str">
            <v>9352</v>
          </cell>
        </row>
        <row r="7594">
          <cell r="A7594" t="str">
            <v>9353</v>
          </cell>
        </row>
        <row r="7595">
          <cell r="A7595" t="str">
            <v>9354</v>
          </cell>
        </row>
        <row r="7596">
          <cell r="A7596" t="str">
            <v>9355</v>
          </cell>
        </row>
        <row r="7597">
          <cell r="A7597" t="str">
            <v>9356</v>
          </cell>
        </row>
        <row r="7598">
          <cell r="A7598" t="str">
            <v>9357</v>
          </cell>
        </row>
        <row r="7599">
          <cell r="A7599" t="str">
            <v>9358</v>
          </cell>
        </row>
        <row r="7600">
          <cell r="A7600" t="str">
            <v>9359</v>
          </cell>
        </row>
        <row r="7601">
          <cell r="A7601" t="str">
            <v>935A</v>
          </cell>
        </row>
        <row r="7602">
          <cell r="A7602" t="str">
            <v>935B</v>
          </cell>
        </row>
        <row r="7603">
          <cell r="A7603" t="str">
            <v>935C</v>
          </cell>
        </row>
        <row r="7604">
          <cell r="A7604" t="str">
            <v>935D</v>
          </cell>
        </row>
        <row r="7605">
          <cell r="A7605" t="str">
            <v>935E</v>
          </cell>
        </row>
        <row r="7606">
          <cell r="A7606" t="str">
            <v>935F</v>
          </cell>
        </row>
        <row r="7607">
          <cell r="A7607" t="str">
            <v>9360</v>
          </cell>
        </row>
        <row r="7608">
          <cell r="A7608" t="str">
            <v>9361</v>
          </cell>
        </row>
        <row r="7609">
          <cell r="A7609" t="str">
            <v>9362</v>
          </cell>
        </row>
        <row r="7610">
          <cell r="A7610" t="str">
            <v>9363</v>
          </cell>
        </row>
        <row r="7611">
          <cell r="A7611" t="str">
            <v>9364</v>
          </cell>
        </row>
        <row r="7612">
          <cell r="A7612" t="str">
            <v>9365</v>
          </cell>
        </row>
        <row r="7613">
          <cell r="A7613" t="str">
            <v>9366</v>
          </cell>
        </row>
        <row r="7614">
          <cell r="A7614" t="str">
            <v>9367</v>
          </cell>
        </row>
        <row r="7615">
          <cell r="A7615" t="str">
            <v>9368</v>
          </cell>
        </row>
        <row r="7616">
          <cell r="A7616" t="str">
            <v>9369</v>
          </cell>
        </row>
        <row r="7617">
          <cell r="A7617" t="str">
            <v>936A</v>
          </cell>
        </row>
        <row r="7618">
          <cell r="A7618" t="str">
            <v>936B</v>
          </cell>
        </row>
        <row r="7619">
          <cell r="A7619" t="str">
            <v>936C</v>
          </cell>
        </row>
        <row r="7620">
          <cell r="A7620" t="str">
            <v>936D</v>
          </cell>
        </row>
        <row r="7621">
          <cell r="A7621" t="str">
            <v>936E</v>
          </cell>
        </row>
        <row r="7622">
          <cell r="A7622" t="str">
            <v>936F</v>
          </cell>
        </row>
        <row r="7623">
          <cell r="A7623" t="str">
            <v>9370</v>
          </cell>
        </row>
        <row r="7624">
          <cell r="A7624" t="str">
            <v>9371</v>
          </cell>
        </row>
        <row r="7625">
          <cell r="A7625" t="str">
            <v>9372</v>
          </cell>
        </row>
        <row r="7626">
          <cell r="A7626" t="str">
            <v>9373</v>
          </cell>
        </row>
        <row r="7627">
          <cell r="A7627" t="str">
            <v>9374</v>
          </cell>
        </row>
        <row r="7628">
          <cell r="A7628" t="str">
            <v>9375</v>
          </cell>
        </row>
        <row r="7629">
          <cell r="A7629" t="str">
            <v>9376</v>
          </cell>
        </row>
        <row r="7630">
          <cell r="A7630" t="str">
            <v>9377</v>
          </cell>
        </row>
        <row r="7631">
          <cell r="A7631" t="str">
            <v>9378</v>
          </cell>
        </row>
        <row r="7632">
          <cell r="A7632" t="str">
            <v>9379</v>
          </cell>
        </row>
        <row r="7633">
          <cell r="A7633" t="str">
            <v>937C</v>
          </cell>
        </row>
        <row r="7634">
          <cell r="A7634" t="str">
            <v>937D</v>
          </cell>
        </row>
        <row r="7635">
          <cell r="A7635" t="str">
            <v>937E</v>
          </cell>
        </row>
        <row r="7636">
          <cell r="A7636" t="str">
            <v>937F</v>
          </cell>
        </row>
        <row r="7637">
          <cell r="A7637" t="str">
            <v>9380</v>
          </cell>
        </row>
        <row r="7638">
          <cell r="A7638" t="str">
            <v>9381</v>
          </cell>
        </row>
        <row r="7639">
          <cell r="A7639" t="str">
            <v>9382</v>
          </cell>
        </row>
        <row r="7640">
          <cell r="A7640" t="str">
            <v>9383</v>
          </cell>
        </row>
        <row r="7641">
          <cell r="A7641" t="str">
            <v>9384</v>
          </cell>
        </row>
        <row r="7642">
          <cell r="A7642" t="str">
            <v>9385</v>
          </cell>
        </row>
        <row r="7643">
          <cell r="A7643" t="str">
            <v>9386</v>
          </cell>
        </row>
        <row r="7644">
          <cell r="A7644" t="str">
            <v>9387</v>
          </cell>
        </row>
        <row r="7645">
          <cell r="A7645" t="str">
            <v>9388</v>
          </cell>
        </row>
        <row r="7646">
          <cell r="A7646" t="str">
            <v>9389</v>
          </cell>
        </row>
        <row r="7647">
          <cell r="A7647" t="str">
            <v>938A</v>
          </cell>
        </row>
        <row r="7648">
          <cell r="A7648" t="str">
            <v>938B</v>
          </cell>
        </row>
        <row r="7649">
          <cell r="A7649" t="str">
            <v>938C</v>
          </cell>
        </row>
        <row r="7650">
          <cell r="A7650" t="str">
            <v>938D</v>
          </cell>
        </row>
        <row r="7651">
          <cell r="A7651" t="str">
            <v>938E</v>
          </cell>
        </row>
        <row r="7652">
          <cell r="A7652" t="str">
            <v>938F</v>
          </cell>
        </row>
        <row r="7653">
          <cell r="A7653" t="str">
            <v>9390</v>
          </cell>
        </row>
        <row r="7654">
          <cell r="A7654" t="str">
            <v>9391</v>
          </cell>
        </row>
        <row r="7655">
          <cell r="A7655" t="str">
            <v>9392</v>
          </cell>
        </row>
        <row r="7656">
          <cell r="A7656" t="str">
            <v>9393</v>
          </cell>
        </row>
        <row r="7657">
          <cell r="A7657" t="str">
            <v>9394</v>
          </cell>
        </row>
        <row r="7658">
          <cell r="A7658" t="str">
            <v>9395</v>
          </cell>
        </row>
        <row r="7659">
          <cell r="A7659" t="str">
            <v>9396</v>
          </cell>
        </row>
        <row r="7660">
          <cell r="A7660" t="str">
            <v>9397</v>
          </cell>
        </row>
        <row r="7661">
          <cell r="A7661" t="str">
            <v>9398</v>
          </cell>
        </row>
        <row r="7662">
          <cell r="A7662" t="str">
            <v>9399</v>
          </cell>
        </row>
        <row r="7663">
          <cell r="A7663" t="str">
            <v>939A</v>
          </cell>
        </row>
        <row r="7664">
          <cell r="A7664" t="str">
            <v>939B</v>
          </cell>
        </row>
        <row r="7665">
          <cell r="A7665" t="str">
            <v>939C</v>
          </cell>
        </row>
        <row r="7666">
          <cell r="A7666" t="str">
            <v>939D</v>
          </cell>
        </row>
        <row r="7667">
          <cell r="A7667" t="str">
            <v>939E</v>
          </cell>
        </row>
        <row r="7668">
          <cell r="A7668" t="str">
            <v>939F</v>
          </cell>
        </row>
        <row r="7669">
          <cell r="A7669" t="str">
            <v>93A0</v>
          </cell>
        </row>
        <row r="7670">
          <cell r="A7670" t="str">
            <v>93A1</v>
          </cell>
        </row>
        <row r="7671">
          <cell r="A7671" t="str">
            <v>93A2</v>
          </cell>
        </row>
        <row r="7672">
          <cell r="A7672" t="str">
            <v>93A3</v>
          </cell>
        </row>
        <row r="7673">
          <cell r="A7673" t="str">
            <v>93A4</v>
          </cell>
        </row>
        <row r="7674">
          <cell r="A7674" t="str">
            <v>93A6</v>
          </cell>
        </row>
        <row r="7675">
          <cell r="A7675" t="str">
            <v>93A7</v>
          </cell>
        </row>
        <row r="7676">
          <cell r="A7676" t="str">
            <v>93A8</v>
          </cell>
        </row>
        <row r="7677">
          <cell r="A7677" t="str">
            <v>93A9</v>
          </cell>
        </row>
        <row r="7678">
          <cell r="A7678" t="str">
            <v>93AA</v>
          </cell>
        </row>
        <row r="7679">
          <cell r="A7679" t="str">
            <v>93AB</v>
          </cell>
        </row>
        <row r="7680">
          <cell r="A7680" t="str">
            <v>93AD</v>
          </cell>
        </row>
        <row r="7681">
          <cell r="A7681" t="str">
            <v>93AE</v>
          </cell>
        </row>
        <row r="7682">
          <cell r="A7682" t="str">
            <v>93AF</v>
          </cell>
        </row>
        <row r="7683">
          <cell r="A7683" t="str">
            <v>93B0</v>
          </cell>
        </row>
        <row r="7684">
          <cell r="A7684" t="str">
            <v>93B1</v>
          </cell>
        </row>
        <row r="7685">
          <cell r="A7685" t="str">
            <v>93B2</v>
          </cell>
        </row>
        <row r="7686">
          <cell r="A7686" t="str">
            <v>93B5</v>
          </cell>
        </row>
        <row r="7687">
          <cell r="A7687" t="str">
            <v>93BB</v>
          </cell>
        </row>
        <row r="7688">
          <cell r="A7688" t="str">
            <v>93BC</v>
          </cell>
        </row>
        <row r="7689">
          <cell r="A7689" t="str">
            <v>93BD</v>
          </cell>
        </row>
        <row r="7690">
          <cell r="A7690" t="str">
            <v>93BE</v>
          </cell>
        </row>
        <row r="7691">
          <cell r="A7691" t="str">
            <v>93BF</v>
          </cell>
        </row>
        <row r="7692">
          <cell r="A7692" t="str">
            <v>93C0</v>
          </cell>
        </row>
        <row r="7693">
          <cell r="A7693" t="str">
            <v>93C1</v>
          </cell>
        </row>
        <row r="7694">
          <cell r="A7694" t="str">
            <v>93C2</v>
          </cell>
        </row>
        <row r="7695">
          <cell r="A7695" t="str">
            <v>93C3</v>
          </cell>
        </row>
        <row r="7696">
          <cell r="A7696" t="str">
            <v>93C4</v>
          </cell>
        </row>
        <row r="7697">
          <cell r="A7697" t="str">
            <v>93C5</v>
          </cell>
        </row>
        <row r="7698">
          <cell r="A7698" t="str">
            <v>93C6</v>
          </cell>
        </row>
        <row r="7699">
          <cell r="A7699" t="str">
            <v>93C7</v>
          </cell>
        </row>
        <row r="7700">
          <cell r="A7700" t="str">
            <v>93C8</v>
          </cell>
        </row>
        <row r="7701">
          <cell r="A7701" t="str">
            <v>93C9</v>
          </cell>
        </row>
        <row r="7702">
          <cell r="A7702" t="str">
            <v>93CA</v>
          </cell>
        </row>
        <row r="7703">
          <cell r="A7703" t="str">
            <v>93CB</v>
          </cell>
        </row>
        <row r="7704">
          <cell r="A7704" t="str">
            <v>93CC</v>
          </cell>
        </row>
        <row r="7705">
          <cell r="A7705" t="str">
            <v>93CD</v>
          </cell>
        </row>
        <row r="7706">
          <cell r="A7706" t="str">
            <v>93CE</v>
          </cell>
        </row>
        <row r="7707">
          <cell r="A7707" t="str">
            <v>93CF</v>
          </cell>
        </row>
        <row r="7708">
          <cell r="A7708" t="str">
            <v>93D0</v>
          </cell>
        </row>
        <row r="7709">
          <cell r="A7709" t="str">
            <v>93D1</v>
          </cell>
        </row>
        <row r="7710">
          <cell r="A7710" t="str">
            <v>93D2</v>
          </cell>
        </row>
        <row r="7711">
          <cell r="A7711" t="str">
            <v>93D3</v>
          </cell>
        </row>
        <row r="7712">
          <cell r="A7712" t="str">
            <v>93D4</v>
          </cell>
        </row>
        <row r="7713">
          <cell r="A7713" t="str">
            <v>93D5</v>
          </cell>
        </row>
        <row r="7714">
          <cell r="A7714" t="str">
            <v>93D6</v>
          </cell>
        </row>
        <row r="7715">
          <cell r="A7715" t="str">
            <v>93D7</v>
          </cell>
        </row>
        <row r="7716">
          <cell r="A7716" t="str">
            <v>93D8</v>
          </cell>
        </row>
        <row r="7717">
          <cell r="A7717" t="str">
            <v>93D9</v>
          </cell>
        </row>
        <row r="7718">
          <cell r="A7718" t="str">
            <v>93DC</v>
          </cell>
        </row>
        <row r="7719">
          <cell r="A7719" t="str">
            <v>93DD</v>
          </cell>
        </row>
        <row r="7720">
          <cell r="A7720" t="str">
            <v>93DE</v>
          </cell>
        </row>
        <row r="7721">
          <cell r="A7721" t="str">
            <v>93DF</v>
          </cell>
        </row>
        <row r="7722">
          <cell r="A7722" t="str">
            <v>93E0</v>
          </cell>
        </row>
        <row r="7723">
          <cell r="A7723" t="str">
            <v>93E1</v>
          </cell>
        </row>
        <row r="7724">
          <cell r="A7724" t="str">
            <v>93E2</v>
          </cell>
        </row>
        <row r="7725">
          <cell r="A7725" t="str">
            <v>93E3</v>
          </cell>
        </row>
        <row r="7726">
          <cell r="A7726" t="str">
            <v>93E4</v>
          </cell>
        </row>
        <row r="7727">
          <cell r="A7727" t="str">
            <v>93E5</v>
          </cell>
        </row>
        <row r="7728">
          <cell r="A7728" t="str">
            <v>93E6</v>
          </cell>
        </row>
        <row r="7729">
          <cell r="A7729" t="str">
            <v>93E7</v>
          </cell>
        </row>
        <row r="7730">
          <cell r="A7730" t="str">
            <v>93E8</v>
          </cell>
        </row>
        <row r="7731">
          <cell r="A7731" t="str">
            <v>93E9</v>
          </cell>
        </row>
        <row r="7732">
          <cell r="A7732" t="str">
            <v>93EA</v>
          </cell>
        </row>
        <row r="7733">
          <cell r="A7733" t="str">
            <v>93EB</v>
          </cell>
        </row>
        <row r="7734">
          <cell r="A7734" t="str">
            <v>93EC</v>
          </cell>
        </row>
        <row r="7735">
          <cell r="A7735" t="str">
            <v>93ED</v>
          </cell>
        </row>
        <row r="7736">
          <cell r="A7736" t="str">
            <v>93EE</v>
          </cell>
        </row>
        <row r="7737">
          <cell r="A7737" t="str">
            <v>93EF</v>
          </cell>
        </row>
        <row r="7738">
          <cell r="A7738" t="str">
            <v>93F0</v>
          </cell>
        </row>
        <row r="7739">
          <cell r="A7739" t="str">
            <v>93F1</v>
          </cell>
        </row>
        <row r="7740">
          <cell r="A7740" t="str">
            <v>93F2</v>
          </cell>
        </row>
        <row r="7741">
          <cell r="A7741" t="str">
            <v>93F3</v>
          </cell>
        </row>
        <row r="7742">
          <cell r="A7742" t="str">
            <v>93F4</v>
          </cell>
        </row>
        <row r="7743">
          <cell r="A7743" t="str">
            <v>93F5</v>
          </cell>
        </row>
        <row r="7744">
          <cell r="A7744" t="str">
            <v>93F6</v>
          </cell>
        </row>
        <row r="7745">
          <cell r="A7745" t="str">
            <v>93F7</v>
          </cell>
        </row>
        <row r="7746">
          <cell r="A7746" t="str">
            <v>93F8</v>
          </cell>
        </row>
        <row r="7747">
          <cell r="A7747" t="str">
            <v>93F9</v>
          </cell>
        </row>
        <row r="7748">
          <cell r="A7748" t="str">
            <v>93FA</v>
          </cell>
        </row>
        <row r="7749">
          <cell r="A7749" t="str">
            <v>93FB</v>
          </cell>
        </row>
        <row r="7750">
          <cell r="A7750" t="str">
            <v>93FC</v>
          </cell>
        </row>
        <row r="7751">
          <cell r="A7751" t="str">
            <v>93FD</v>
          </cell>
        </row>
        <row r="7752">
          <cell r="A7752" t="str">
            <v>93FE</v>
          </cell>
        </row>
        <row r="7753">
          <cell r="A7753" t="str">
            <v>93FF</v>
          </cell>
        </row>
        <row r="7754">
          <cell r="A7754" t="str">
            <v>9400</v>
          </cell>
        </row>
        <row r="7755">
          <cell r="A7755" t="str">
            <v>9401</v>
          </cell>
        </row>
        <row r="7756">
          <cell r="A7756" t="str">
            <v>9402</v>
          </cell>
        </row>
        <row r="7757">
          <cell r="A7757" t="str">
            <v>9403</v>
          </cell>
        </row>
        <row r="7758">
          <cell r="A7758" t="str">
            <v>9404</v>
          </cell>
        </row>
        <row r="7759">
          <cell r="A7759" t="str">
            <v>9405</v>
          </cell>
        </row>
        <row r="7760">
          <cell r="A7760" t="str">
            <v>9406</v>
          </cell>
        </row>
        <row r="7761">
          <cell r="A7761" t="str">
            <v>9407</v>
          </cell>
        </row>
        <row r="7762">
          <cell r="A7762" t="str">
            <v>9408</v>
          </cell>
        </row>
        <row r="7763">
          <cell r="A7763" t="str">
            <v>9409</v>
          </cell>
        </row>
        <row r="7764">
          <cell r="A7764" t="str">
            <v>940A</v>
          </cell>
        </row>
        <row r="7765">
          <cell r="A7765" t="str">
            <v>940B</v>
          </cell>
        </row>
        <row r="7766">
          <cell r="A7766" t="str">
            <v>940C</v>
          </cell>
        </row>
        <row r="7767">
          <cell r="A7767" t="str">
            <v>940D</v>
          </cell>
        </row>
        <row r="7768">
          <cell r="A7768" t="str">
            <v>940E</v>
          </cell>
        </row>
        <row r="7769">
          <cell r="A7769" t="str">
            <v>940F</v>
          </cell>
        </row>
        <row r="7770">
          <cell r="A7770" t="str">
            <v>9410</v>
          </cell>
        </row>
        <row r="7771">
          <cell r="A7771" t="str">
            <v>9411</v>
          </cell>
        </row>
        <row r="7772">
          <cell r="A7772" t="str">
            <v>9412</v>
          </cell>
        </row>
        <row r="7773">
          <cell r="A7773" t="str">
            <v>9413</v>
          </cell>
        </row>
        <row r="7774">
          <cell r="A7774" t="str">
            <v>9414</v>
          </cell>
        </row>
        <row r="7775">
          <cell r="A7775" t="str">
            <v>9415</v>
          </cell>
        </row>
        <row r="7776">
          <cell r="A7776" t="str">
            <v>9416</v>
          </cell>
        </row>
        <row r="7777">
          <cell r="A7777" t="str">
            <v>9417</v>
          </cell>
        </row>
        <row r="7778">
          <cell r="A7778" t="str">
            <v>9418</v>
          </cell>
        </row>
        <row r="7779">
          <cell r="A7779" t="str">
            <v>9419</v>
          </cell>
        </row>
        <row r="7780">
          <cell r="A7780" t="str">
            <v>941A</v>
          </cell>
        </row>
        <row r="7781">
          <cell r="A7781" t="str">
            <v>941B</v>
          </cell>
        </row>
        <row r="7782">
          <cell r="A7782" t="str">
            <v>941C</v>
          </cell>
        </row>
        <row r="7783">
          <cell r="A7783" t="str">
            <v>941D</v>
          </cell>
        </row>
        <row r="7784">
          <cell r="A7784" t="str">
            <v>941E</v>
          </cell>
        </row>
        <row r="7785">
          <cell r="A7785" t="str">
            <v>941F</v>
          </cell>
        </row>
        <row r="7786">
          <cell r="A7786" t="str">
            <v>9420</v>
          </cell>
        </row>
        <row r="7787">
          <cell r="A7787" t="str">
            <v>9421</v>
          </cell>
        </row>
        <row r="7788">
          <cell r="A7788" t="str">
            <v>9422</v>
          </cell>
        </row>
        <row r="7789">
          <cell r="A7789" t="str">
            <v>9423</v>
          </cell>
        </row>
        <row r="7790">
          <cell r="A7790" t="str">
            <v>9424</v>
          </cell>
        </row>
        <row r="7791">
          <cell r="A7791" t="str">
            <v>9425</v>
          </cell>
        </row>
        <row r="7792">
          <cell r="A7792" t="str">
            <v>9426</v>
          </cell>
        </row>
        <row r="7793">
          <cell r="A7793" t="str">
            <v>9427</v>
          </cell>
        </row>
        <row r="7794">
          <cell r="A7794" t="str">
            <v>9428</v>
          </cell>
        </row>
        <row r="7795">
          <cell r="A7795" t="str">
            <v>9429</v>
          </cell>
        </row>
        <row r="7796">
          <cell r="A7796" t="str">
            <v>942A</v>
          </cell>
        </row>
        <row r="7797">
          <cell r="A7797" t="str">
            <v>942B</v>
          </cell>
        </row>
        <row r="7798">
          <cell r="A7798" t="str">
            <v>942C</v>
          </cell>
        </row>
        <row r="7799">
          <cell r="A7799" t="str">
            <v>942D</v>
          </cell>
        </row>
        <row r="7800">
          <cell r="A7800" t="str">
            <v>942E</v>
          </cell>
        </row>
        <row r="7801">
          <cell r="A7801" t="str">
            <v>942F</v>
          </cell>
        </row>
        <row r="7802">
          <cell r="A7802" t="str">
            <v>9430</v>
          </cell>
        </row>
        <row r="7803">
          <cell r="A7803" t="str">
            <v>9431</v>
          </cell>
        </row>
        <row r="7804">
          <cell r="A7804" t="str">
            <v>9432</v>
          </cell>
        </row>
        <row r="7805">
          <cell r="A7805" t="str">
            <v>9433</v>
          </cell>
        </row>
        <row r="7806">
          <cell r="A7806" t="str">
            <v>9434</v>
          </cell>
        </row>
        <row r="7807">
          <cell r="A7807" t="str">
            <v>9435</v>
          </cell>
        </row>
        <row r="7808">
          <cell r="A7808" t="str">
            <v>9436</v>
          </cell>
        </row>
        <row r="7809">
          <cell r="A7809" t="str">
            <v>9437</v>
          </cell>
        </row>
        <row r="7810">
          <cell r="A7810" t="str">
            <v>9438</v>
          </cell>
        </row>
        <row r="7811">
          <cell r="A7811" t="str">
            <v>9439</v>
          </cell>
        </row>
        <row r="7812">
          <cell r="A7812" t="str">
            <v>943A</v>
          </cell>
        </row>
        <row r="7813">
          <cell r="A7813" t="str">
            <v>943B</v>
          </cell>
        </row>
        <row r="7814">
          <cell r="A7814" t="str">
            <v>943C</v>
          </cell>
        </row>
        <row r="7815">
          <cell r="A7815" t="str">
            <v>943D</v>
          </cell>
        </row>
        <row r="7816">
          <cell r="A7816" t="str">
            <v>943E</v>
          </cell>
        </row>
        <row r="7817">
          <cell r="A7817" t="str">
            <v>943F</v>
          </cell>
        </row>
        <row r="7818">
          <cell r="A7818" t="str">
            <v>9440</v>
          </cell>
        </row>
        <row r="7819">
          <cell r="A7819" t="str">
            <v>9441</v>
          </cell>
        </row>
        <row r="7820">
          <cell r="A7820" t="str">
            <v>9442</v>
          </cell>
        </row>
        <row r="7821">
          <cell r="A7821" t="str">
            <v>9443</v>
          </cell>
        </row>
        <row r="7822">
          <cell r="A7822" t="str">
            <v>9444</v>
          </cell>
        </row>
        <row r="7823">
          <cell r="A7823" t="str">
            <v>9445</v>
          </cell>
        </row>
        <row r="7824">
          <cell r="A7824" t="str">
            <v>9446</v>
          </cell>
        </row>
        <row r="7825">
          <cell r="A7825" t="str">
            <v>9447</v>
          </cell>
        </row>
        <row r="7826">
          <cell r="A7826" t="str">
            <v>9448</v>
          </cell>
        </row>
        <row r="7827">
          <cell r="A7827" t="str">
            <v>9449</v>
          </cell>
        </row>
        <row r="7828">
          <cell r="A7828" t="str">
            <v>944A</v>
          </cell>
        </row>
        <row r="7829">
          <cell r="A7829" t="str">
            <v>944B</v>
          </cell>
        </row>
        <row r="7830">
          <cell r="A7830" t="str">
            <v>944C</v>
          </cell>
        </row>
        <row r="7831">
          <cell r="A7831" t="str">
            <v>944D</v>
          </cell>
        </row>
        <row r="7832">
          <cell r="A7832" t="str">
            <v>944E</v>
          </cell>
        </row>
        <row r="7833">
          <cell r="A7833" t="str">
            <v>944F</v>
          </cell>
        </row>
        <row r="7834">
          <cell r="A7834" t="str">
            <v>9450</v>
          </cell>
        </row>
        <row r="7835">
          <cell r="A7835" t="str">
            <v>9451</v>
          </cell>
        </row>
        <row r="7836">
          <cell r="A7836" t="str">
            <v>9452</v>
          </cell>
        </row>
        <row r="7837">
          <cell r="A7837" t="str">
            <v>9453</v>
          </cell>
        </row>
        <row r="7838">
          <cell r="A7838" t="str">
            <v>9454</v>
          </cell>
        </row>
        <row r="7839">
          <cell r="A7839" t="str">
            <v>9455</v>
          </cell>
        </row>
        <row r="7840">
          <cell r="A7840" t="str">
            <v>9456</v>
          </cell>
        </row>
        <row r="7841">
          <cell r="A7841" t="str">
            <v>9457</v>
          </cell>
        </row>
        <row r="7842">
          <cell r="A7842" t="str">
            <v>9458</v>
          </cell>
        </row>
        <row r="7843">
          <cell r="A7843" t="str">
            <v>9459</v>
          </cell>
        </row>
        <row r="7844">
          <cell r="A7844" t="str">
            <v>945A</v>
          </cell>
        </row>
        <row r="7845">
          <cell r="A7845" t="str">
            <v>945B</v>
          </cell>
        </row>
        <row r="7846">
          <cell r="A7846" t="str">
            <v>945C</v>
          </cell>
        </row>
        <row r="7847">
          <cell r="A7847" t="str">
            <v>945D</v>
          </cell>
        </row>
        <row r="7848">
          <cell r="A7848" t="str">
            <v>945E</v>
          </cell>
        </row>
        <row r="7849">
          <cell r="A7849" t="str">
            <v>945F</v>
          </cell>
        </row>
        <row r="7850">
          <cell r="A7850" t="str">
            <v>9460</v>
          </cell>
        </row>
        <row r="7851">
          <cell r="A7851" t="str">
            <v>9461</v>
          </cell>
        </row>
        <row r="7852">
          <cell r="A7852" t="str">
            <v>9462</v>
          </cell>
        </row>
        <row r="7853">
          <cell r="A7853" t="str">
            <v>9463</v>
          </cell>
        </row>
        <row r="7854">
          <cell r="A7854" t="str">
            <v>9464</v>
          </cell>
        </row>
        <row r="7855">
          <cell r="A7855" t="str">
            <v>9465</v>
          </cell>
        </row>
        <row r="7856">
          <cell r="A7856" t="str">
            <v>9466</v>
          </cell>
        </row>
        <row r="7857">
          <cell r="A7857" t="str">
            <v>9467</v>
          </cell>
        </row>
        <row r="7858">
          <cell r="A7858" t="str">
            <v>9468</v>
          </cell>
        </row>
        <row r="7859">
          <cell r="A7859" t="str">
            <v>9469</v>
          </cell>
        </row>
        <row r="7860">
          <cell r="A7860" t="str">
            <v>946A</v>
          </cell>
        </row>
        <row r="7861">
          <cell r="A7861" t="str">
            <v>946B</v>
          </cell>
        </row>
        <row r="7862">
          <cell r="A7862" t="str">
            <v>946C</v>
          </cell>
        </row>
        <row r="7863">
          <cell r="A7863" t="str">
            <v>946D</v>
          </cell>
        </row>
        <row r="7864">
          <cell r="A7864" t="str">
            <v>946E</v>
          </cell>
        </row>
        <row r="7865">
          <cell r="A7865" t="str">
            <v>946F</v>
          </cell>
        </row>
        <row r="7866">
          <cell r="A7866" t="str">
            <v>9470</v>
          </cell>
        </row>
        <row r="7867">
          <cell r="A7867" t="str">
            <v>9471</v>
          </cell>
        </row>
        <row r="7868">
          <cell r="A7868" t="str">
            <v>9472</v>
          </cell>
        </row>
        <row r="7869">
          <cell r="A7869" t="str">
            <v>9473</v>
          </cell>
        </row>
        <row r="7870">
          <cell r="A7870" t="str">
            <v>9474</v>
          </cell>
        </row>
        <row r="7871">
          <cell r="A7871" t="str">
            <v>9475</v>
          </cell>
        </row>
        <row r="7872">
          <cell r="A7872" t="str">
            <v>9476</v>
          </cell>
        </row>
        <row r="7873">
          <cell r="A7873" t="str">
            <v>9477</v>
          </cell>
        </row>
        <row r="7874">
          <cell r="A7874" t="str">
            <v>9478</v>
          </cell>
        </row>
        <row r="7875">
          <cell r="A7875" t="str">
            <v>9479</v>
          </cell>
        </row>
        <row r="7876">
          <cell r="A7876" t="str">
            <v>947A</v>
          </cell>
        </row>
        <row r="7877">
          <cell r="A7877" t="str">
            <v>947B</v>
          </cell>
        </row>
        <row r="7878">
          <cell r="A7878" t="str">
            <v>947C</v>
          </cell>
        </row>
        <row r="7879">
          <cell r="A7879" t="str">
            <v>947D</v>
          </cell>
        </row>
        <row r="7880">
          <cell r="A7880" t="str">
            <v>947E</v>
          </cell>
        </row>
        <row r="7881">
          <cell r="A7881" t="str">
            <v>947F</v>
          </cell>
        </row>
        <row r="7882">
          <cell r="A7882" t="str">
            <v>9480</v>
          </cell>
        </row>
        <row r="7883">
          <cell r="A7883" t="str">
            <v>9481</v>
          </cell>
        </row>
        <row r="7884">
          <cell r="A7884" t="str">
            <v>9482</v>
          </cell>
        </row>
        <row r="7885">
          <cell r="A7885" t="str">
            <v>9483</v>
          </cell>
        </row>
        <row r="7886">
          <cell r="A7886" t="str">
            <v>9484</v>
          </cell>
        </row>
        <row r="7887">
          <cell r="A7887" t="str">
            <v>9485</v>
          </cell>
        </row>
        <row r="7888">
          <cell r="A7888" t="str">
            <v>9486</v>
          </cell>
        </row>
        <row r="7889">
          <cell r="A7889" t="str">
            <v>9487</v>
          </cell>
        </row>
        <row r="7890">
          <cell r="A7890" t="str">
            <v>9A01</v>
          </cell>
        </row>
        <row r="7891">
          <cell r="A7891" t="str">
            <v>9A02</v>
          </cell>
        </row>
        <row r="7892">
          <cell r="A7892" t="str">
            <v>9A03</v>
          </cell>
        </row>
        <row r="7893">
          <cell r="A7893" t="str">
            <v>9A04</v>
          </cell>
        </row>
        <row r="7894">
          <cell r="A7894" t="str">
            <v>9A05</v>
          </cell>
        </row>
        <row r="7895">
          <cell r="A7895" t="str">
            <v>9A06</v>
          </cell>
        </row>
        <row r="7896">
          <cell r="A7896" t="str">
            <v>9A07</v>
          </cell>
        </row>
        <row r="7897">
          <cell r="A7897" t="str">
            <v>9A08</v>
          </cell>
        </row>
        <row r="7898">
          <cell r="A7898" t="str">
            <v>9A09</v>
          </cell>
        </row>
        <row r="7899">
          <cell r="A7899" t="str">
            <v>9A10</v>
          </cell>
        </row>
        <row r="7900">
          <cell r="A7900" t="str">
            <v>9A11</v>
          </cell>
        </row>
        <row r="7901">
          <cell r="A7901" t="str">
            <v>9A12</v>
          </cell>
        </row>
        <row r="7902">
          <cell r="A7902" t="str">
            <v>9A14</v>
          </cell>
        </row>
        <row r="7903">
          <cell r="A7903" t="str">
            <v>9A55</v>
          </cell>
        </row>
        <row r="7904">
          <cell r="A7904" t="str">
            <v>9A56</v>
          </cell>
        </row>
        <row r="7905">
          <cell r="A7905" t="str">
            <v>9A59</v>
          </cell>
        </row>
        <row r="7906">
          <cell r="A7906" t="str">
            <v>9A60</v>
          </cell>
        </row>
        <row r="7907">
          <cell r="A7907" t="str">
            <v>9A61</v>
          </cell>
        </row>
        <row r="7908">
          <cell r="A7908" t="str">
            <v>9A63</v>
          </cell>
        </row>
        <row r="7909">
          <cell r="A7909" t="str">
            <v>9A64</v>
          </cell>
        </row>
        <row r="7910">
          <cell r="A7910" t="str">
            <v>9A67</v>
          </cell>
        </row>
        <row r="7911">
          <cell r="A7911" t="str">
            <v>9A68</v>
          </cell>
        </row>
        <row r="7912">
          <cell r="A7912" t="str">
            <v>9A69</v>
          </cell>
        </row>
        <row r="7913">
          <cell r="A7913" t="str">
            <v>9A75</v>
          </cell>
        </row>
        <row r="7914">
          <cell r="A7914" t="str">
            <v>9A76</v>
          </cell>
        </row>
        <row r="7915">
          <cell r="A7915" t="str">
            <v>9A77</v>
          </cell>
        </row>
        <row r="7916">
          <cell r="A7916" t="str">
            <v>9A78</v>
          </cell>
        </row>
        <row r="7917">
          <cell r="A7917" t="str">
            <v>9A79</v>
          </cell>
        </row>
        <row r="7918">
          <cell r="A7918" t="str">
            <v>9A81</v>
          </cell>
        </row>
        <row r="7919">
          <cell r="A7919" t="str">
            <v>9A82</v>
          </cell>
        </row>
        <row r="7920">
          <cell r="A7920" t="str">
            <v>9A84</v>
          </cell>
        </row>
        <row r="7921">
          <cell r="A7921" t="str">
            <v>9A85</v>
          </cell>
        </row>
        <row r="7922">
          <cell r="A7922" t="str">
            <v>9A88</v>
          </cell>
        </row>
        <row r="7923">
          <cell r="A7923" t="str">
            <v>9A89</v>
          </cell>
        </row>
        <row r="7924">
          <cell r="A7924" t="str">
            <v>9A91</v>
          </cell>
        </row>
        <row r="7925">
          <cell r="A7925" t="str">
            <v>9A92</v>
          </cell>
        </row>
        <row r="7926">
          <cell r="A7926" t="str">
            <v>9A94</v>
          </cell>
        </row>
        <row r="7927">
          <cell r="A7927" t="str">
            <v>9A95</v>
          </cell>
        </row>
        <row r="7928">
          <cell r="A7928" t="str">
            <v>9B36</v>
          </cell>
        </row>
        <row r="7929">
          <cell r="A7929" t="str">
            <v>9B38</v>
          </cell>
        </row>
        <row r="7930">
          <cell r="A7930" t="str">
            <v>9B39</v>
          </cell>
        </row>
        <row r="7931">
          <cell r="A7931" t="str">
            <v>9B40</v>
          </cell>
        </row>
        <row r="7932">
          <cell r="A7932" t="str">
            <v>9B41</v>
          </cell>
        </row>
        <row r="7933">
          <cell r="A7933" t="str">
            <v>9B42</v>
          </cell>
        </row>
        <row r="7934">
          <cell r="A7934" t="str">
            <v>9B43</v>
          </cell>
        </row>
        <row r="7935">
          <cell r="A7935" t="str">
            <v>9B44</v>
          </cell>
        </row>
        <row r="7936">
          <cell r="A7936" t="str">
            <v>9B45</v>
          </cell>
        </row>
        <row r="7937">
          <cell r="A7937" t="str">
            <v>9B46</v>
          </cell>
        </row>
        <row r="7938">
          <cell r="A7938" t="str">
            <v>9B47</v>
          </cell>
        </row>
        <row r="7939">
          <cell r="A7939" t="str">
            <v>9B48</v>
          </cell>
        </row>
        <row r="7940">
          <cell r="A7940" t="str">
            <v>9B49</v>
          </cell>
        </row>
        <row r="7941">
          <cell r="A7941" t="str">
            <v>9B50</v>
          </cell>
        </row>
        <row r="7942">
          <cell r="A7942" t="str">
            <v>9B51</v>
          </cell>
        </row>
        <row r="7943">
          <cell r="A7943" t="str">
            <v>9B52</v>
          </cell>
        </row>
        <row r="7944">
          <cell r="A7944" t="str">
            <v>9B53</v>
          </cell>
        </row>
        <row r="7945">
          <cell r="A7945" t="str">
            <v>9B54</v>
          </cell>
        </row>
        <row r="7946">
          <cell r="A7946" t="str">
            <v>9B56</v>
          </cell>
        </row>
        <row r="7947">
          <cell r="A7947" t="str">
            <v>9B57</v>
          </cell>
        </row>
        <row r="7948">
          <cell r="A7948" t="str">
            <v>9B58</v>
          </cell>
        </row>
        <row r="7949">
          <cell r="A7949" t="str">
            <v>9B62</v>
          </cell>
        </row>
        <row r="7950">
          <cell r="A7950" t="str">
            <v>9B71</v>
          </cell>
        </row>
        <row r="7951">
          <cell r="A7951" t="str">
            <v>9B72</v>
          </cell>
        </row>
        <row r="7952">
          <cell r="A7952" t="str">
            <v>9B73</v>
          </cell>
        </row>
        <row r="7953">
          <cell r="A7953" t="str">
            <v>9B74</v>
          </cell>
        </row>
        <row r="7954">
          <cell r="A7954" t="str">
            <v>9B7A</v>
          </cell>
        </row>
        <row r="7955">
          <cell r="A7955" t="str">
            <v>9B7B</v>
          </cell>
        </row>
        <row r="7956">
          <cell r="A7956" t="str">
            <v>9B7C</v>
          </cell>
        </row>
        <row r="7957">
          <cell r="A7957" t="str">
            <v>9B7D</v>
          </cell>
        </row>
        <row r="7958">
          <cell r="A7958" t="str">
            <v>9B7E</v>
          </cell>
        </row>
        <row r="7959">
          <cell r="A7959" t="str">
            <v>9B7F</v>
          </cell>
        </row>
        <row r="7960">
          <cell r="A7960" t="str">
            <v>9B81</v>
          </cell>
        </row>
        <row r="7961">
          <cell r="A7961" t="str">
            <v>9B86</v>
          </cell>
        </row>
        <row r="7962">
          <cell r="A7962" t="str">
            <v>9B87</v>
          </cell>
        </row>
        <row r="7963">
          <cell r="A7963" t="str">
            <v>9B88</v>
          </cell>
        </row>
        <row r="7964">
          <cell r="A7964" t="str">
            <v>9B89</v>
          </cell>
        </row>
        <row r="7965">
          <cell r="A7965" t="str">
            <v>9B90</v>
          </cell>
        </row>
        <row r="7966">
          <cell r="A7966" t="str">
            <v>9B91</v>
          </cell>
        </row>
        <row r="7967">
          <cell r="A7967" t="str">
            <v>9B92</v>
          </cell>
        </row>
        <row r="7968">
          <cell r="A7968" t="str">
            <v>9B93</v>
          </cell>
        </row>
        <row r="7969">
          <cell r="A7969" t="str">
            <v>9B94</v>
          </cell>
        </row>
        <row r="7970">
          <cell r="A7970" t="str">
            <v>9B95</v>
          </cell>
        </row>
        <row r="7971">
          <cell r="A7971" t="str">
            <v>9B96</v>
          </cell>
        </row>
        <row r="7972">
          <cell r="A7972" t="str">
            <v>9B97</v>
          </cell>
        </row>
        <row r="7973">
          <cell r="A7973" t="str">
            <v>9B98</v>
          </cell>
        </row>
        <row r="7974">
          <cell r="A7974" t="str">
            <v>9B99</v>
          </cell>
        </row>
        <row r="7975">
          <cell r="A7975" t="str">
            <v>9C00</v>
          </cell>
        </row>
        <row r="7976">
          <cell r="A7976" t="str">
            <v>9C01</v>
          </cell>
        </row>
        <row r="7977">
          <cell r="A7977" t="str">
            <v>9C02</v>
          </cell>
        </row>
        <row r="7978">
          <cell r="A7978" t="str">
            <v>9C03</v>
          </cell>
        </row>
        <row r="7979">
          <cell r="A7979" t="str">
            <v>9C04</v>
          </cell>
        </row>
        <row r="7980">
          <cell r="A7980" t="str">
            <v>9C05</v>
          </cell>
        </row>
        <row r="7981">
          <cell r="A7981" t="str">
            <v>9C06</v>
          </cell>
        </row>
        <row r="7982">
          <cell r="A7982" t="str">
            <v>9C08</v>
          </cell>
        </row>
        <row r="7983">
          <cell r="A7983" t="str">
            <v>9C09</v>
          </cell>
        </row>
        <row r="7984">
          <cell r="A7984" t="str">
            <v>9C0A</v>
          </cell>
        </row>
        <row r="7985">
          <cell r="A7985" t="str">
            <v>9C0B</v>
          </cell>
        </row>
        <row r="7986">
          <cell r="A7986" t="str">
            <v>9C0C</v>
          </cell>
        </row>
        <row r="7987">
          <cell r="A7987" t="str">
            <v>9C10</v>
          </cell>
        </row>
        <row r="7988">
          <cell r="A7988" t="str">
            <v>9C11</v>
          </cell>
        </row>
        <row r="7989">
          <cell r="A7989" t="str">
            <v>9C12</v>
          </cell>
        </row>
        <row r="7990">
          <cell r="A7990" t="str">
            <v>9C13</v>
          </cell>
        </row>
        <row r="7991">
          <cell r="A7991" t="str">
            <v>9C14</v>
          </cell>
        </row>
        <row r="7992">
          <cell r="A7992" t="str">
            <v>9C15</v>
          </cell>
        </row>
        <row r="7993">
          <cell r="A7993" t="str">
            <v>9C16</v>
          </cell>
        </row>
        <row r="7994">
          <cell r="A7994" t="str">
            <v>9C17</v>
          </cell>
        </row>
        <row r="7995">
          <cell r="A7995" t="str">
            <v>9C18</v>
          </cell>
        </row>
        <row r="7996">
          <cell r="A7996" t="str">
            <v>9C19</v>
          </cell>
        </row>
        <row r="7997">
          <cell r="A7997" t="str">
            <v>9C1A</v>
          </cell>
        </row>
        <row r="7998">
          <cell r="A7998" t="str">
            <v>9C1B</v>
          </cell>
        </row>
        <row r="7999">
          <cell r="A7999" t="str">
            <v>9C1C</v>
          </cell>
        </row>
        <row r="8000">
          <cell r="A8000" t="str">
            <v>9C20</v>
          </cell>
        </row>
        <row r="8001">
          <cell r="A8001" t="str">
            <v>9C21</v>
          </cell>
        </row>
        <row r="8002">
          <cell r="A8002" t="str">
            <v>9C22</v>
          </cell>
        </row>
        <row r="8003">
          <cell r="A8003" t="str">
            <v>9C23</v>
          </cell>
        </row>
        <row r="8004">
          <cell r="A8004" t="str">
            <v>9C24</v>
          </cell>
        </row>
        <row r="8005">
          <cell r="A8005" t="str">
            <v>9C30</v>
          </cell>
        </row>
        <row r="8006">
          <cell r="A8006" t="str">
            <v>9C32</v>
          </cell>
        </row>
        <row r="8007">
          <cell r="A8007" t="str">
            <v>9C33</v>
          </cell>
        </row>
        <row r="8008">
          <cell r="A8008" t="str">
            <v>9C34</v>
          </cell>
        </row>
        <row r="8009">
          <cell r="A8009" t="str">
            <v>9C35</v>
          </cell>
        </row>
        <row r="8010">
          <cell r="A8010" t="str">
            <v>9C36</v>
          </cell>
        </row>
        <row r="8011">
          <cell r="A8011" t="str">
            <v>9C37</v>
          </cell>
        </row>
        <row r="8012">
          <cell r="A8012" t="str">
            <v>9C38</v>
          </cell>
        </row>
        <row r="8013">
          <cell r="A8013" t="str">
            <v>9C43</v>
          </cell>
        </row>
        <row r="8014">
          <cell r="A8014" t="str">
            <v>9C44</v>
          </cell>
        </row>
        <row r="8015">
          <cell r="A8015" t="str">
            <v>9C45</v>
          </cell>
        </row>
        <row r="8016">
          <cell r="A8016" t="str">
            <v>9C51</v>
          </cell>
        </row>
        <row r="8017">
          <cell r="A8017" t="str">
            <v>9C53</v>
          </cell>
        </row>
        <row r="8018">
          <cell r="A8018" t="str">
            <v>9C55</v>
          </cell>
        </row>
        <row r="8019">
          <cell r="A8019" t="str">
            <v>9C77</v>
          </cell>
        </row>
        <row r="8020">
          <cell r="A8020" t="str">
            <v>9C78</v>
          </cell>
        </row>
        <row r="8021">
          <cell r="A8021" t="str">
            <v>9C79</v>
          </cell>
        </row>
        <row r="8022">
          <cell r="A8022" t="str">
            <v>9C82</v>
          </cell>
        </row>
        <row r="8023">
          <cell r="A8023" t="str">
            <v>9C83</v>
          </cell>
        </row>
        <row r="8024">
          <cell r="A8024" t="str">
            <v>9C84</v>
          </cell>
        </row>
        <row r="8025">
          <cell r="A8025" t="str">
            <v>9C90</v>
          </cell>
        </row>
        <row r="8026">
          <cell r="A8026" t="str">
            <v>9C91</v>
          </cell>
        </row>
        <row r="8027">
          <cell r="A8027" t="str">
            <v>9C96</v>
          </cell>
        </row>
        <row r="8028">
          <cell r="A8028" t="str">
            <v>9C98</v>
          </cell>
        </row>
        <row r="8029">
          <cell r="A8029" t="str">
            <v>9C99</v>
          </cell>
        </row>
        <row r="8030">
          <cell r="A8030" t="str">
            <v>9D00</v>
          </cell>
        </row>
        <row r="8031">
          <cell r="A8031" t="str">
            <v>9D01</v>
          </cell>
        </row>
        <row r="8032">
          <cell r="A8032" t="str">
            <v>9D02</v>
          </cell>
        </row>
        <row r="8033">
          <cell r="A8033" t="str">
            <v>9D03</v>
          </cell>
        </row>
        <row r="8034">
          <cell r="A8034" t="str">
            <v>9D06</v>
          </cell>
        </row>
        <row r="8035">
          <cell r="A8035" t="str">
            <v>9D07</v>
          </cell>
        </row>
        <row r="8036">
          <cell r="A8036" t="str">
            <v>9D08</v>
          </cell>
        </row>
        <row r="8037">
          <cell r="A8037" t="str">
            <v>9D09</v>
          </cell>
        </row>
        <row r="8038">
          <cell r="A8038" t="str">
            <v>9D13</v>
          </cell>
        </row>
        <row r="8039">
          <cell r="A8039" t="str">
            <v>9D14</v>
          </cell>
        </row>
        <row r="8040">
          <cell r="A8040" t="str">
            <v>9D15</v>
          </cell>
        </row>
        <row r="8041">
          <cell r="A8041" t="str">
            <v>9D16</v>
          </cell>
        </row>
        <row r="8042">
          <cell r="A8042" t="str">
            <v>9D17</v>
          </cell>
        </row>
        <row r="8043">
          <cell r="A8043" t="str">
            <v>9D18</v>
          </cell>
        </row>
        <row r="8044">
          <cell r="A8044" t="str">
            <v>9D19</v>
          </cell>
        </row>
        <row r="8045">
          <cell r="A8045" t="str">
            <v>9D1A</v>
          </cell>
        </row>
        <row r="8046">
          <cell r="A8046" t="str">
            <v>9D21</v>
          </cell>
        </row>
        <row r="8047">
          <cell r="A8047" t="str">
            <v>9D22</v>
          </cell>
        </row>
        <row r="8048">
          <cell r="A8048" t="str">
            <v>9D23</v>
          </cell>
        </row>
        <row r="8049">
          <cell r="A8049" t="str">
            <v>9D24</v>
          </cell>
        </row>
        <row r="8050">
          <cell r="A8050" t="str">
            <v>9D25</v>
          </cell>
        </row>
        <row r="8051">
          <cell r="A8051" t="str">
            <v>9D26</v>
          </cell>
        </row>
        <row r="8052">
          <cell r="A8052" t="str">
            <v>9D27</v>
          </cell>
        </row>
        <row r="8053">
          <cell r="A8053" t="str">
            <v>9D28</v>
          </cell>
        </row>
        <row r="8054">
          <cell r="A8054" t="str">
            <v>9D29</v>
          </cell>
        </row>
        <row r="8055">
          <cell r="A8055" t="str">
            <v>9D30</v>
          </cell>
        </row>
        <row r="8056">
          <cell r="A8056" t="str">
            <v>9D31</v>
          </cell>
        </row>
        <row r="8057">
          <cell r="A8057" t="str">
            <v>9D32</v>
          </cell>
        </row>
        <row r="8058">
          <cell r="A8058" t="str">
            <v>9D33</v>
          </cell>
        </row>
        <row r="8059">
          <cell r="A8059" t="str">
            <v>9D34</v>
          </cell>
        </row>
        <row r="8060">
          <cell r="A8060" t="str">
            <v>9D35</v>
          </cell>
        </row>
        <row r="8061">
          <cell r="A8061" t="str">
            <v>9D36</v>
          </cell>
        </row>
        <row r="8062">
          <cell r="A8062" t="str">
            <v>9D38</v>
          </cell>
        </row>
        <row r="8063">
          <cell r="A8063" t="str">
            <v>9D39</v>
          </cell>
        </row>
        <row r="8064">
          <cell r="A8064" t="str">
            <v>9D50</v>
          </cell>
        </row>
        <row r="8065">
          <cell r="A8065" t="str">
            <v>9D55</v>
          </cell>
        </row>
        <row r="8066">
          <cell r="A8066" t="str">
            <v>9D56</v>
          </cell>
        </row>
        <row r="8067">
          <cell r="A8067" t="str">
            <v>9D57</v>
          </cell>
        </row>
        <row r="8068">
          <cell r="A8068" t="str">
            <v>9D58</v>
          </cell>
        </row>
        <row r="8069">
          <cell r="A8069" t="str">
            <v>9D59</v>
          </cell>
        </row>
        <row r="8070">
          <cell r="A8070" t="str">
            <v>9D63</v>
          </cell>
        </row>
        <row r="8071">
          <cell r="A8071" t="str">
            <v>9D64</v>
          </cell>
        </row>
        <row r="8072">
          <cell r="A8072" t="str">
            <v>9D65</v>
          </cell>
        </row>
        <row r="8073">
          <cell r="A8073" t="str">
            <v>9D68</v>
          </cell>
        </row>
        <row r="8074">
          <cell r="A8074" t="str">
            <v>9D69</v>
          </cell>
        </row>
        <row r="8075">
          <cell r="A8075" t="str">
            <v>9D74</v>
          </cell>
        </row>
        <row r="8076">
          <cell r="A8076" t="str">
            <v>9D75</v>
          </cell>
        </row>
        <row r="8077">
          <cell r="A8077" t="str">
            <v>9D78</v>
          </cell>
        </row>
        <row r="8078">
          <cell r="A8078" t="str">
            <v>9D79</v>
          </cell>
        </row>
        <row r="8079">
          <cell r="A8079" t="str">
            <v>9D84</v>
          </cell>
        </row>
        <row r="8080">
          <cell r="A8080" t="str">
            <v>9D85</v>
          </cell>
        </row>
        <row r="8081">
          <cell r="A8081" t="str">
            <v>9D86</v>
          </cell>
        </row>
        <row r="8082">
          <cell r="A8082" t="str">
            <v>9D87</v>
          </cell>
        </row>
        <row r="8083">
          <cell r="A8083" t="str">
            <v>9D88</v>
          </cell>
        </row>
        <row r="8084">
          <cell r="A8084" t="str">
            <v>9D97</v>
          </cell>
        </row>
        <row r="8085">
          <cell r="A8085" t="str">
            <v>C001</v>
          </cell>
        </row>
        <row r="8086">
          <cell r="A8086" t="str">
            <v>C002</v>
          </cell>
        </row>
        <row r="8087">
          <cell r="A8087" t="str">
            <v>C003</v>
          </cell>
        </row>
        <row r="8088">
          <cell r="A8088" t="str">
            <v>C004</v>
          </cell>
        </row>
        <row r="8089">
          <cell r="A8089" t="str">
            <v>C005</v>
          </cell>
        </row>
        <row r="8090">
          <cell r="A8090" t="str">
            <v>C006</v>
          </cell>
        </row>
        <row r="8091">
          <cell r="A8091" t="str">
            <v>C007</v>
          </cell>
        </row>
        <row r="8092">
          <cell r="A8092" t="str">
            <v>C008</v>
          </cell>
        </row>
        <row r="8093">
          <cell r="A8093" t="str">
            <v>C009</v>
          </cell>
        </row>
        <row r="8094">
          <cell r="A8094" t="str">
            <v>C010</v>
          </cell>
        </row>
        <row r="8095">
          <cell r="A8095" t="str">
            <v>C011</v>
          </cell>
        </row>
        <row r="8096">
          <cell r="A8096" t="str">
            <v>C012</v>
          </cell>
        </row>
        <row r="8097">
          <cell r="A8097" t="str">
            <v>C013</v>
          </cell>
        </row>
        <row r="8098">
          <cell r="A8098" t="str">
            <v>C014</v>
          </cell>
        </row>
        <row r="8099">
          <cell r="A8099" t="str">
            <v>C015</v>
          </cell>
        </row>
        <row r="8100">
          <cell r="A8100" t="str">
            <v>C016</v>
          </cell>
        </row>
        <row r="8101">
          <cell r="A8101" t="str">
            <v>C017</v>
          </cell>
        </row>
        <row r="8102">
          <cell r="A8102" t="str">
            <v>C018</v>
          </cell>
        </row>
        <row r="8103">
          <cell r="A8103" t="str">
            <v>C019</v>
          </cell>
        </row>
        <row r="8104">
          <cell r="A8104" t="str">
            <v>C020</v>
          </cell>
        </row>
        <row r="8105">
          <cell r="A8105" t="str">
            <v>C021</v>
          </cell>
        </row>
        <row r="8106">
          <cell r="A8106" t="str">
            <v>C022</v>
          </cell>
        </row>
        <row r="8107">
          <cell r="A8107" t="str">
            <v>C023</v>
          </cell>
        </row>
        <row r="8108">
          <cell r="A8108" t="str">
            <v>C024</v>
          </cell>
        </row>
        <row r="8109">
          <cell r="A8109" t="str">
            <v>C025</v>
          </cell>
        </row>
        <row r="8110">
          <cell r="A8110" t="str">
            <v>C026</v>
          </cell>
        </row>
        <row r="8111">
          <cell r="A8111" t="str">
            <v>C027</v>
          </cell>
        </row>
        <row r="8112">
          <cell r="A8112" t="str">
            <v>C028</v>
          </cell>
        </row>
        <row r="8113">
          <cell r="A8113" t="str">
            <v>C029</v>
          </cell>
        </row>
        <row r="8114">
          <cell r="A8114" t="str">
            <v>C030</v>
          </cell>
        </row>
        <row r="8115">
          <cell r="A8115" t="str">
            <v>C031</v>
          </cell>
        </row>
        <row r="8116">
          <cell r="A8116" t="str">
            <v>C032</v>
          </cell>
        </row>
        <row r="8117">
          <cell r="A8117" t="str">
            <v>C033</v>
          </cell>
        </row>
        <row r="8118">
          <cell r="A8118" t="str">
            <v>C034</v>
          </cell>
        </row>
        <row r="8119">
          <cell r="A8119" t="str">
            <v>C035</v>
          </cell>
        </row>
        <row r="8120">
          <cell r="A8120" t="str">
            <v>C036</v>
          </cell>
        </row>
        <row r="8121">
          <cell r="A8121" t="str">
            <v>C037</v>
          </cell>
        </row>
        <row r="8122">
          <cell r="A8122" t="str">
            <v>C038</v>
          </cell>
        </row>
        <row r="8123">
          <cell r="A8123" t="str">
            <v>C039</v>
          </cell>
        </row>
        <row r="8124">
          <cell r="A8124" t="str">
            <v>C040</v>
          </cell>
        </row>
        <row r="8125">
          <cell r="A8125" t="str">
            <v>C041</v>
          </cell>
        </row>
        <row r="8126">
          <cell r="A8126" t="str">
            <v>C042</v>
          </cell>
        </row>
        <row r="8127">
          <cell r="A8127" t="str">
            <v>C043</v>
          </cell>
        </row>
        <row r="8128">
          <cell r="A8128" t="str">
            <v>C044</v>
          </cell>
        </row>
        <row r="8129">
          <cell r="A8129" t="str">
            <v>C045</v>
          </cell>
        </row>
        <row r="8130">
          <cell r="A8130" t="str">
            <v>C046</v>
          </cell>
        </row>
        <row r="8131">
          <cell r="A8131" t="str">
            <v>C047</v>
          </cell>
        </row>
        <row r="8132">
          <cell r="A8132" t="str">
            <v>C048</v>
          </cell>
        </row>
        <row r="8133">
          <cell r="A8133" t="str">
            <v>C049</v>
          </cell>
        </row>
        <row r="8134">
          <cell r="A8134" t="str">
            <v>C050</v>
          </cell>
        </row>
        <row r="8135">
          <cell r="A8135" t="str">
            <v>C051</v>
          </cell>
        </row>
        <row r="8136">
          <cell r="A8136" t="str">
            <v>C052</v>
          </cell>
        </row>
        <row r="8137">
          <cell r="A8137" t="str">
            <v>C053</v>
          </cell>
        </row>
        <row r="8138">
          <cell r="A8138" t="str">
            <v>C054</v>
          </cell>
        </row>
        <row r="8139">
          <cell r="A8139" t="str">
            <v>C055</v>
          </cell>
        </row>
        <row r="8140">
          <cell r="A8140" t="str">
            <v>C056</v>
          </cell>
        </row>
        <row r="8141">
          <cell r="A8141" t="str">
            <v>C057</v>
          </cell>
        </row>
        <row r="8142">
          <cell r="A8142" t="str">
            <v>C058</v>
          </cell>
        </row>
        <row r="8143">
          <cell r="A8143" t="str">
            <v>C059</v>
          </cell>
        </row>
        <row r="8144">
          <cell r="A8144" t="str">
            <v>C060</v>
          </cell>
        </row>
        <row r="8145">
          <cell r="A8145" t="str">
            <v>C061</v>
          </cell>
        </row>
        <row r="8146">
          <cell r="A8146" t="str">
            <v>C062</v>
          </cell>
        </row>
        <row r="8147">
          <cell r="A8147" t="str">
            <v>C063</v>
          </cell>
        </row>
        <row r="8148">
          <cell r="A8148" t="str">
            <v>C064</v>
          </cell>
        </row>
        <row r="8149">
          <cell r="A8149" t="str">
            <v>C065</v>
          </cell>
        </row>
        <row r="8150">
          <cell r="A8150" t="str">
            <v>C066</v>
          </cell>
        </row>
        <row r="8151">
          <cell r="A8151" t="str">
            <v>C067</v>
          </cell>
        </row>
        <row r="8152">
          <cell r="A8152" t="str">
            <v>C068</v>
          </cell>
        </row>
        <row r="8153">
          <cell r="A8153" t="str">
            <v>C069</v>
          </cell>
        </row>
        <row r="8154">
          <cell r="A8154" t="str">
            <v>C070</v>
          </cell>
        </row>
        <row r="8155">
          <cell r="A8155" t="str">
            <v>C071</v>
          </cell>
        </row>
        <row r="8156">
          <cell r="A8156" t="str">
            <v>C072</v>
          </cell>
        </row>
        <row r="8157">
          <cell r="A8157" t="str">
            <v>C073</v>
          </cell>
        </row>
        <row r="8158">
          <cell r="A8158" t="str">
            <v>C074</v>
          </cell>
        </row>
        <row r="8159">
          <cell r="A8159" t="str">
            <v>C077</v>
          </cell>
        </row>
        <row r="8160">
          <cell r="A8160" t="str">
            <v>C078</v>
          </cell>
        </row>
        <row r="8161">
          <cell r="A8161" t="str">
            <v>C079</v>
          </cell>
        </row>
        <row r="8162">
          <cell r="A8162" t="str">
            <v>C080</v>
          </cell>
        </row>
        <row r="8163">
          <cell r="A8163" t="str">
            <v>C081</v>
          </cell>
        </row>
        <row r="8164">
          <cell r="A8164" t="str">
            <v>C082</v>
          </cell>
        </row>
        <row r="8165">
          <cell r="A8165" t="str">
            <v>C083</v>
          </cell>
        </row>
        <row r="8166">
          <cell r="A8166" t="str">
            <v>C084</v>
          </cell>
        </row>
        <row r="8167">
          <cell r="A8167" t="str">
            <v>C085</v>
          </cell>
        </row>
        <row r="8168">
          <cell r="A8168" t="str">
            <v>C086</v>
          </cell>
        </row>
        <row r="8169">
          <cell r="A8169" t="str">
            <v>C087</v>
          </cell>
        </row>
        <row r="8170">
          <cell r="A8170" t="str">
            <v>C088</v>
          </cell>
        </row>
        <row r="8171">
          <cell r="A8171" t="str">
            <v>C100</v>
          </cell>
        </row>
        <row r="8172">
          <cell r="A8172" t="str">
            <v>C101</v>
          </cell>
        </row>
        <row r="8173">
          <cell r="A8173" t="str">
            <v>C102</v>
          </cell>
        </row>
        <row r="8174">
          <cell r="A8174" t="str">
            <v>C103</v>
          </cell>
        </row>
        <row r="8175">
          <cell r="A8175" t="str">
            <v>C104</v>
          </cell>
        </row>
        <row r="8176">
          <cell r="A8176" t="str">
            <v>C105</v>
          </cell>
        </row>
        <row r="8177">
          <cell r="A8177" t="str">
            <v>C106</v>
          </cell>
        </row>
        <row r="8178">
          <cell r="A8178" t="str">
            <v>C107</v>
          </cell>
        </row>
        <row r="8179">
          <cell r="A8179" t="str">
            <v>C108</v>
          </cell>
        </row>
        <row r="8180">
          <cell r="A8180" t="str">
            <v>C109</v>
          </cell>
        </row>
        <row r="8181">
          <cell r="A8181" t="str">
            <v>C10A</v>
          </cell>
        </row>
        <row r="8182">
          <cell r="A8182" t="str">
            <v>C10B</v>
          </cell>
        </row>
        <row r="8183">
          <cell r="A8183" t="str">
            <v>C10C</v>
          </cell>
        </row>
        <row r="8184">
          <cell r="A8184" t="str">
            <v>C10D</v>
          </cell>
        </row>
        <row r="8185">
          <cell r="A8185" t="str">
            <v>C10E</v>
          </cell>
        </row>
        <row r="8186">
          <cell r="A8186" t="str">
            <v>C10F</v>
          </cell>
        </row>
        <row r="8187">
          <cell r="A8187" t="str">
            <v>C110</v>
          </cell>
        </row>
        <row r="8188">
          <cell r="A8188" t="str">
            <v>C111</v>
          </cell>
        </row>
        <row r="8189">
          <cell r="A8189" t="str">
            <v>C112</v>
          </cell>
        </row>
        <row r="8190">
          <cell r="A8190" t="str">
            <v>C113</v>
          </cell>
        </row>
        <row r="8191">
          <cell r="A8191" t="str">
            <v>C114</v>
          </cell>
        </row>
        <row r="8192">
          <cell r="A8192" t="str">
            <v>C115</v>
          </cell>
        </row>
        <row r="8193">
          <cell r="A8193" t="str">
            <v>C116</v>
          </cell>
        </row>
        <row r="8194">
          <cell r="A8194" t="str">
            <v>C117</v>
          </cell>
        </row>
        <row r="8195">
          <cell r="A8195" t="str">
            <v>C118</v>
          </cell>
        </row>
        <row r="8196">
          <cell r="A8196" t="str">
            <v>C119</v>
          </cell>
        </row>
        <row r="8197">
          <cell r="A8197" t="str">
            <v>C11A</v>
          </cell>
        </row>
        <row r="8198">
          <cell r="A8198" t="str">
            <v>C11B</v>
          </cell>
        </row>
        <row r="8199">
          <cell r="A8199" t="str">
            <v>C11C</v>
          </cell>
        </row>
        <row r="8200">
          <cell r="A8200" t="str">
            <v>C11D</v>
          </cell>
        </row>
        <row r="8201">
          <cell r="A8201" t="str">
            <v>C11E</v>
          </cell>
        </row>
        <row r="8202">
          <cell r="A8202" t="str">
            <v>C120</v>
          </cell>
        </row>
        <row r="8203">
          <cell r="A8203" t="str">
            <v>C121</v>
          </cell>
        </row>
        <row r="8204">
          <cell r="A8204" t="str">
            <v>C122</v>
          </cell>
        </row>
        <row r="8205">
          <cell r="A8205" t="str">
            <v>C123</v>
          </cell>
        </row>
        <row r="8206">
          <cell r="A8206" t="str">
            <v>C124</v>
          </cell>
        </row>
        <row r="8207">
          <cell r="A8207" t="str">
            <v>C125</v>
          </cell>
        </row>
        <row r="8208">
          <cell r="A8208" t="str">
            <v>C126</v>
          </cell>
        </row>
        <row r="8209">
          <cell r="A8209" t="str">
            <v>C127</v>
          </cell>
        </row>
        <row r="8210">
          <cell r="A8210" t="str">
            <v>C128</v>
          </cell>
        </row>
        <row r="8211">
          <cell r="A8211" t="str">
            <v>C129</v>
          </cell>
        </row>
        <row r="8212">
          <cell r="A8212" t="str">
            <v>C12A</v>
          </cell>
        </row>
        <row r="8213">
          <cell r="A8213" t="str">
            <v>C12B</v>
          </cell>
        </row>
        <row r="8214">
          <cell r="A8214" t="str">
            <v>C12C</v>
          </cell>
        </row>
        <row r="8215">
          <cell r="A8215" t="str">
            <v>C12D</v>
          </cell>
        </row>
        <row r="8216">
          <cell r="A8216" t="str">
            <v>C130</v>
          </cell>
        </row>
        <row r="8217">
          <cell r="A8217" t="str">
            <v>C131</v>
          </cell>
        </row>
        <row r="8218">
          <cell r="A8218" t="str">
            <v>C132</v>
          </cell>
        </row>
        <row r="8219">
          <cell r="A8219" t="str">
            <v>C133</v>
          </cell>
        </row>
        <row r="8220">
          <cell r="A8220" t="str">
            <v>C134</v>
          </cell>
        </row>
        <row r="8221">
          <cell r="A8221" t="str">
            <v>C135</v>
          </cell>
        </row>
        <row r="8222">
          <cell r="A8222" t="str">
            <v>C136</v>
          </cell>
        </row>
        <row r="8223">
          <cell r="A8223" t="str">
            <v>C137</v>
          </cell>
        </row>
        <row r="8224">
          <cell r="A8224" t="str">
            <v>C138</v>
          </cell>
        </row>
        <row r="8225">
          <cell r="A8225" t="str">
            <v>C139</v>
          </cell>
        </row>
        <row r="8226">
          <cell r="A8226" t="str">
            <v>C13C</v>
          </cell>
        </row>
        <row r="8227">
          <cell r="A8227" t="str">
            <v>C140</v>
          </cell>
        </row>
        <row r="8228">
          <cell r="A8228" t="str">
            <v>C141</v>
          </cell>
        </row>
        <row r="8229">
          <cell r="A8229" t="str">
            <v>C142</v>
          </cell>
        </row>
        <row r="8230">
          <cell r="A8230" t="str">
            <v>C143</v>
          </cell>
        </row>
        <row r="8231">
          <cell r="A8231" t="str">
            <v>C144</v>
          </cell>
        </row>
        <row r="8232">
          <cell r="A8232" t="str">
            <v>C145</v>
          </cell>
        </row>
        <row r="8233">
          <cell r="A8233" t="str">
            <v>C146</v>
          </cell>
        </row>
        <row r="8234">
          <cell r="A8234" t="str">
            <v>C147</v>
          </cell>
        </row>
        <row r="8235">
          <cell r="A8235" t="str">
            <v>C148</v>
          </cell>
        </row>
        <row r="8236">
          <cell r="A8236" t="str">
            <v>C149</v>
          </cell>
        </row>
        <row r="8237">
          <cell r="A8237" t="str">
            <v>C150</v>
          </cell>
        </row>
        <row r="8238">
          <cell r="A8238" t="str">
            <v>C151</v>
          </cell>
        </row>
        <row r="8239">
          <cell r="A8239" t="str">
            <v>C152</v>
          </cell>
        </row>
        <row r="8240">
          <cell r="A8240" t="str">
            <v>C153</v>
          </cell>
        </row>
        <row r="8241">
          <cell r="A8241" t="str">
            <v>C154</v>
          </cell>
        </row>
        <row r="8242">
          <cell r="A8242" t="str">
            <v>C155</v>
          </cell>
        </row>
        <row r="8243">
          <cell r="A8243" t="str">
            <v>C156</v>
          </cell>
        </row>
        <row r="8244">
          <cell r="A8244" t="str">
            <v>C157</v>
          </cell>
        </row>
        <row r="8245">
          <cell r="A8245" t="str">
            <v>C158</v>
          </cell>
        </row>
        <row r="8246">
          <cell r="A8246" t="str">
            <v>C159</v>
          </cell>
        </row>
        <row r="8247">
          <cell r="A8247" t="str">
            <v>C160</v>
          </cell>
        </row>
        <row r="8248">
          <cell r="A8248" t="str">
            <v>C161</v>
          </cell>
        </row>
        <row r="8249">
          <cell r="A8249" t="str">
            <v>C162</v>
          </cell>
        </row>
        <row r="8250">
          <cell r="A8250" t="str">
            <v>C163</v>
          </cell>
        </row>
        <row r="8251">
          <cell r="A8251" t="str">
            <v>C164</v>
          </cell>
        </row>
        <row r="8252">
          <cell r="A8252" t="str">
            <v>C165</v>
          </cell>
        </row>
        <row r="8253">
          <cell r="A8253" t="str">
            <v>C166</v>
          </cell>
        </row>
        <row r="8254">
          <cell r="A8254" t="str">
            <v>C167</v>
          </cell>
        </row>
        <row r="8255">
          <cell r="A8255" t="str">
            <v>C168</v>
          </cell>
        </row>
        <row r="8256">
          <cell r="A8256" t="str">
            <v>C169</v>
          </cell>
        </row>
        <row r="8257">
          <cell r="A8257" t="str">
            <v>C16A</v>
          </cell>
        </row>
        <row r="8258">
          <cell r="A8258" t="str">
            <v>C16B</v>
          </cell>
        </row>
        <row r="8259">
          <cell r="A8259" t="str">
            <v>C16C</v>
          </cell>
        </row>
        <row r="8260">
          <cell r="A8260" t="str">
            <v>C170</v>
          </cell>
        </row>
        <row r="8261">
          <cell r="A8261" t="str">
            <v>C171</v>
          </cell>
        </row>
        <row r="8262">
          <cell r="A8262" t="str">
            <v>C172</v>
          </cell>
        </row>
        <row r="8263">
          <cell r="A8263" t="str">
            <v>C173</v>
          </cell>
        </row>
        <row r="8264">
          <cell r="A8264" t="str">
            <v>C174</v>
          </cell>
        </row>
        <row r="8265">
          <cell r="A8265" t="str">
            <v>C175</v>
          </cell>
        </row>
        <row r="8266">
          <cell r="A8266" t="str">
            <v>C176</v>
          </cell>
        </row>
        <row r="8267">
          <cell r="A8267" t="str">
            <v>C177</v>
          </cell>
        </row>
        <row r="8268">
          <cell r="A8268" t="str">
            <v>C178</v>
          </cell>
        </row>
        <row r="8269">
          <cell r="A8269" t="str">
            <v>C179</v>
          </cell>
        </row>
        <row r="8270">
          <cell r="A8270" t="str">
            <v>C17A</v>
          </cell>
        </row>
        <row r="8271">
          <cell r="A8271" t="str">
            <v>C17B</v>
          </cell>
        </row>
        <row r="8272">
          <cell r="A8272" t="str">
            <v>C17C</v>
          </cell>
        </row>
        <row r="8273">
          <cell r="A8273" t="str">
            <v>C17D</v>
          </cell>
        </row>
        <row r="8274">
          <cell r="A8274" t="str">
            <v>C17E</v>
          </cell>
        </row>
        <row r="8275">
          <cell r="A8275" t="str">
            <v>C17F</v>
          </cell>
        </row>
        <row r="8276">
          <cell r="A8276" t="str">
            <v>C180</v>
          </cell>
        </row>
        <row r="8277">
          <cell r="A8277" t="str">
            <v>C181</v>
          </cell>
        </row>
        <row r="8278">
          <cell r="A8278" t="str">
            <v>C182</v>
          </cell>
        </row>
        <row r="8279">
          <cell r="A8279" t="str">
            <v>C183</v>
          </cell>
        </row>
        <row r="8280">
          <cell r="A8280" t="str">
            <v>C184</v>
          </cell>
        </row>
        <row r="8281">
          <cell r="A8281" t="str">
            <v>C185</v>
          </cell>
        </row>
        <row r="8282">
          <cell r="A8282" t="str">
            <v>C186</v>
          </cell>
        </row>
        <row r="8283">
          <cell r="A8283" t="str">
            <v>C187</v>
          </cell>
        </row>
        <row r="8284">
          <cell r="A8284" t="str">
            <v>C188</v>
          </cell>
        </row>
        <row r="8285">
          <cell r="A8285" t="str">
            <v>C189</v>
          </cell>
        </row>
        <row r="8286">
          <cell r="A8286" t="str">
            <v>C190</v>
          </cell>
        </row>
        <row r="8287">
          <cell r="A8287" t="str">
            <v>C191</v>
          </cell>
        </row>
        <row r="8288">
          <cell r="A8288" t="str">
            <v>C192</v>
          </cell>
        </row>
        <row r="8289">
          <cell r="A8289" t="str">
            <v>C193</v>
          </cell>
        </row>
        <row r="8290">
          <cell r="A8290" t="str">
            <v>C194</v>
          </cell>
        </row>
        <row r="8291">
          <cell r="A8291" t="str">
            <v>C195</v>
          </cell>
        </row>
        <row r="8292">
          <cell r="A8292" t="str">
            <v>C196</v>
          </cell>
        </row>
        <row r="8293">
          <cell r="A8293" t="str">
            <v>C197</v>
          </cell>
        </row>
        <row r="8294">
          <cell r="A8294" t="str">
            <v>C198</v>
          </cell>
        </row>
        <row r="8295">
          <cell r="A8295" t="str">
            <v>C199</v>
          </cell>
        </row>
        <row r="8296">
          <cell r="A8296" t="str">
            <v>C19A</v>
          </cell>
        </row>
        <row r="8297">
          <cell r="A8297" t="str">
            <v>C19B</v>
          </cell>
        </row>
        <row r="8298">
          <cell r="A8298" t="str">
            <v>C19C</v>
          </cell>
        </row>
        <row r="8299">
          <cell r="A8299" t="str">
            <v>C19D</v>
          </cell>
        </row>
        <row r="8300">
          <cell r="A8300" t="str">
            <v>C19E</v>
          </cell>
        </row>
        <row r="8301">
          <cell r="A8301" t="str">
            <v>C19F</v>
          </cell>
        </row>
        <row r="8302">
          <cell r="A8302" t="str">
            <v>C1A0</v>
          </cell>
        </row>
        <row r="8303">
          <cell r="A8303" t="str">
            <v>C1A1</v>
          </cell>
        </row>
        <row r="8304">
          <cell r="A8304" t="str">
            <v>C1A2</v>
          </cell>
        </row>
        <row r="8305">
          <cell r="A8305" t="str">
            <v>C1A3</v>
          </cell>
        </row>
        <row r="8306">
          <cell r="A8306" t="str">
            <v>C1A4</v>
          </cell>
        </row>
        <row r="8307">
          <cell r="A8307" t="str">
            <v>C1A5</v>
          </cell>
        </row>
        <row r="8308">
          <cell r="A8308" t="str">
            <v>C1A6</v>
          </cell>
        </row>
        <row r="8309">
          <cell r="A8309" t="str">
            <v>C1A7</v>
          </cell>
        </row>
        <row r="8310">
          <cell r="A8310" t="str">
            <v>C200</v>
          </cell>
        </row>
        <row r="8311">
          <cell r="A8311" t="str">
            <v>C201</v>
          </cell>
        </row>
        <row r="8312">
          <cell r="A8312" t="str">
            <v>C202</v>
          </cell>
        </row>
        <row r="8313">
          <cell r="A8313" t="str">
            <v>C203</v>
          </cell>
        </row>
        <row r="8314">
          <cell r="A8314" t="str">
            <v>C204</v>
          </cell>
        </row>
        <row r="8315">
          <cell r="A8315" t="str">
            <v>C205</v>
          </cell>
        </row>
        <row r="8316">
          <cell r="A8316" t="str">
            <v>C206</v>
          </cell>
        </row>
        <row r="8317">
          <cell r="A8317" t="str">
            <v>C207</v>
          </cell>
        </row>
        <row r="8318">
          <cell r="A8318" t="str">
            <v>C208</v>
          </cell>
        </row>
        <row r="8319">
          <cell r="A8319" t="str">
            <v>C209</v>
          </cell>
        </row>
        <row r="8320">
          <cell r="A8320" t="str">
            <v>C210</v>
          </cell>
        </row>
        <row r="8321">
          <cell r="A8321" t="str">
            <v>C211</v>
          </cell>
        </row>
        <row r="8322">
          <cell r="A8322" t="str">
            <v>C212</v>
          </cell>
        </row>
        <row r="8323">
          <cell r="A8323" t="str">
            <v>C213</v>
          </cell>
        </row>
        <row r="8324">
          <cell r="A8324" t="str">
            <v>C214</v>
          </cell>
        </row>
        <row r="8325">
          <cell r="A8325" t="str">
            <v>C215</v>
          </cell>
        </row>
        <row r="8326">
          <cell r="A8326" t="str">
            <v>C216</v>
          </cell>
        </row>
        <row r="8327">
          <cell r="A8327" t="str">
            <v>C217</v>
          </cell>
        </row>
        <row r="8328">
          <cell r="A8328" t="str">
            <v>C218</v>
          </cell>
        </row>
        <row r="8329">
          <cell r="A8329" t="str">
            <v>C219</v>
          </cell>
        </row>
        <row r="8330">
          <cell r="A8330" t="str">
            <v>C220</v>
          </cell>
        </row>
        <row r="8331">
          <cell r="A8331" t="str">
            <v>C221</v>
          </cell>
        </row>
        <row r="8332">
          <cell r="A8332" t="str">
            <v>C222</v>
          </cell>
        </row>
        <row r="8333">
          <cell r="A8333" t="str">
            <v>C223</v>
          </cell>
        </row>
        <row r="8334">
          <cell r="A8334" t="str">
            <v>C224</v>
          </cell>
        </row>
        <row r="8335">
          <cell r="A8335" t="str">
            <v>C225</v>
          </cell>
        </row>
        <row r="8336">
          <cell r="A8336" t="str">
            <v>C226</v>
          </cell>
        </row>
        <row r="8337">
          <cell r="A8337" t="str">
            <v>C227</v>
          </cell>
        </row>
        <row r="8338">
          <cell r="A8338" t="str">
            <v>C228</v>
          </cell>
        </row>
        <row r="8339">
          <cell r="A8339" t="str">
            <v>C229</v>
          </cell>
        </row>
        <row r="8340">
          <cell r="A8340" t="str">
            <v>C230</v>
          </cell>
        </row>
        <row r="8341">
          <cell r="A8341" t="str">
            <v>C231</v>
          </cell>
        </row>
        <row r="8342">
          <cell r="A8342" t="str">
            <v>C232</v>
          </cell>
        </row>
        <row r="8343">
          <cell r="A8343" t="str">
            <v>C233</v>
          </cell>
        </row>
        <row r="8344">
          <cell r="A8344" t="str">
            <v>C234</v>
          </cell>
        </row>
        <row r="8345">
          <cell r="A8345" t="str">
            <v>C235</v>
          </cell>
        </row>
        <row r="8346">
          <cell r="A8346" t="str">
            <v>C236</v>
          </cell>
        </row>
        <row r="8347">
          <cell r="A8347" t="str">
            <v>C237</v>
          </cell>
        </row>
        <row r="8348">
          <cell r="A8348" t="str">
            <v>C238</v>
          </cell>
        </row>
        <row r="8349">
          <cell r="A8349" t="str">
            <v>C239</v>
          </cell>
        </row>
        <row r="8350">
          <cell r="A8350" t="str">
            <v>C23A</v>
          </cell>
        </row>
        <row r="8351">
          <cell r="A8351" t="str">
            <v>C23B</v>
          </cell>
        </row>
        <row r="8352">
          <cell r="A8352" t="str">
            <v>C23D</v>
          </cell>
        </row>
        <row r="8353">
          <cell r="A8353" t="str">
            <v>C23E</v>
          </cell>
        </row>
        <row r="8354">
          <cell r="A8354" t="str">
            <v>C240</v>
          </cell>
        </row>
        <row r="8355">
          <cell r="A8355" t="str">
            <v>C241</v>
          </cell>
        </row>
        <row r="8356">
          <cell r="A8356" t="str">
            <v>C242</v>
          </cell>
        </row>
        <row r="8357">
          <cell r="A8357" t="str">
            <v>C243</v>
          </cell>
        </row>
        <row r="8358">
          <cell r="A8358" t="str">
            <v>C244</v>
          </cell>
        </row>
        <row r="8359">
          <cell r="A8359" t="str">
            <v>C245</v>
          </cell>
        </row>
        <row r="8360">
          <cell r="A8360" t="str">
            <v>C246</v>
          </cell>
        </row>
        <row r="8361">
          <cell r="A8361" t="str">
            <v>C247</v>
          </cell>
        </row>
        <row r="8362">
          <cell r="A8362" t="str">
            <v>C248</v>
          </cell>
        </row>
        <row r="8363">
          <cell r="A8363" t="str">
            <v>C249</v>
          </cell>
        </row>
        <row r="8364">
          <cell r="A8364" t="str">
            <v>C24A</v>
          </cell>
        </row>
        <row r="8365">
          <cell r="A8365" t="str">
            <v>C24B</v>
          </cell>
        </row>
        <row r="8366">
          <cell r="A8366" t="str">
            <v>C24C</v>
          </cell>
        </row>
        <row r="8367">
          <cell r="A8367" t="str">
            <v>C250</v>
          </cell>
        </row>
        <row r="8368">
          <cell r="A8368" t="str">
            <v>C251</v>
          </cell>
        </row>
        <row r="8369">
          <cell r="A8369" t="str">
            <v>C252</v>
          </cell>
        </row>
        <row r="8370">
          <cell r="A8370" t="str">
            <v>C253</v>
          </cell>
        </row>
        <row r="8371">
          <cell r="A8371" t="str">
            <v>C254</v>
          </cell>
        </row>
        <row r="8372">
          <cell r="A8372" t="str">
            <v>C255</v>
          </cell>
        </row>
        <row r="8373">
          <cell r="A8373" t="str">
            <v>C256</v>
          </cell>
        </row>
        <row r="8374">
          <cell r="A8374" t="str">
            <v>C257</v>
          </cell>
        </row>
        <row r="8375">
          <cell r="A8375" t="str">
            <v>C258</v>
          </cell>
        </row>
        <row r="8376">
          <cell r="A8376" t="str">
            <v>C259</v>
          </cell>
        </row>
        <row r="8377">
          <cell r="A8377" t="str">
            <v>C25A</v>
          </cell>
        </row>
        <row r="8378">
          <cell r="A8378" t="str">
            <v>C25B</v>
          </cell>
        </row>
        <row r="8379">
          <cell r="A8379" t="str">
            <v>C25C</v>
          </cell>
        </row>
        <row r="8380">
          <cell r="A8380" t="str">
            <v>C25D</v>
          </cell>
        </row>
        <row r="8381">
          <cell r="A8381" t="str">
            <v>C260</v>
          </cell>
        </row>
        <row r="8382">
          <cell r="A8382" t="str">
            <v>C261</v>
          </cell>
        </row>
        <row r="8383">
          <cell r="A8383" t="str">
            <v>C262</v>
          </cell>
        </row>
        <row r="8384">
          <cell r="A8384" t="str">
            <v>C263</v>
          </cell>
        </row>
        <row r="8385">
          <cell r="A8385" t="str">
            <v>C264</v>
          </cell>
        </row>
        <row r="8386">
          <cell r="A8386" t="str">
            <v>C265</v>
          </cell>
        </row>
        <row r="8387">
          <cell r="A8387" t="str">
            <v>C266</v>
          </cell>
        </row>
        <row r="8388">
          <cell r="A8388" t="str">
            <v>C267</v>
          </cell>
        </row>
        <row r="8389">
          <cell r="A8389" t="str">
            <v>C268</v>
          </cell>
        </row>
        <row r="8390">
          <cell r="A8390" t="str">
            <v>C269</v>
          </cell>
        </row>
        <row r="8391">
          <cell r="A8391" t="str">
            <v>C26A</v>
          </cell>
        </row>
        <row r="8392">
          <cell r="A8392" t="str">
            <v>C26B</v>
          </cell>
        </row>
        <row r="8393">
          <cell r="A8393" t="str">
            <v>C26C</v>
          </cell>
        </row>
        <row r="8394">
          <cell r="A8394" t="str">
            <v>C26D</v>
          </cell>
        </row>
        <row r="8395">
          <cell r="A8395" t="str">
            <v>C26E</v>
          </cell>
        </row>
        <row r="8396">
          <cell r="A8396" t="str">
            <v>C26F</v>
          </cell>
        </row>
        <row r="8397">
          <cell r="A8397" t="str">
            <v>C270</v>
          </cell>
        </row>
        <row r="8398">
          <cell r="A8398" t="str">
            <v>C284</v>
          </cell>
        </row>
        <row r="8399">
          <cell r="A8399" t="str">
            <v>C285</v>
          </cell>
        </row>
        <row r="8400">
          <cell r="A8400" t="str">
            <v>C286</v>
          </cell>
        </row>
        <row r="8401">
          <cell r="A8401" t="str">
            <v>C287</v>
          </cell>
        </row>
        <row r="8402">
          <cell r="A8402" t="str">
            <v>C288</v>
          </cell>
        </row>
        <row r="8403">
          <cell r="A8403" t="str">
            <v>C289</v>
          </cell>
        </row>
        <row r="8404">
          <cell r="A8404" t="str">
            <v>C291</v>
          </cell>
        </row>
        <row r="8405">
          <cell r="A8405" t="str">
            <v>C292</v>
          </cell>
        </row>
        <row r="8406">
          <cell r="A8406" t="str">
            <v>C293</v>
          </cell>
        </row>
        <row r="8407">
          <cell r="A8407" t="str">
            <v>C294</v>
          </cell>
        </row>
        <row r="8408">
          <cell r="A8408" t="str">
            <v>C295</v>
          </cell>
        </row>
        <row r="8409">
          <cell r="A8409" t="str">
            <v>C296</v>
          </cell>
        </row>
        <row r="8410">
          <cell r="A8410" t="str">
            <v>C297</v>
          </cell>
        </row>
        <row r="8411">
          <cell r="A8411" t="str">
            <v>C298</v>
          </cell>
        </row>
        <row r="8412">
          <cell r="A8412" t="str">
            <v>C299</v>
          </cell>
        </row>
        <row r="8413">
          <cell r="A8413" t="str">
            <v>C29A</v>
          </cell>
        </row>
        <row r="8414">
          <cell r="A8414" t="str">
            <v>C29B</v>
          </cell>
        </row>
        <row r="8415">
          <cell r="A8415" t="str">
            <v>C29C</v>
          </cell>
        </row>
        <row r="8416">
          <cell r="A8416" t="str">
            <v>C29D</v>
          </cell>
        </row>
        <row r="8417">
          <cell r="A8417" t="str">
            <v>C29E</v>
          </cell>
        </row>
        <row r="8418">
          <cell r="A8418" t="str">
            <v>C29F</v>
          </cell>
        </row>
        <row r="8419">
          <cell r="A8419" t="str">
            <v>C2A2</v>
          </cell>
        </row>
        <row r="8420">
          <cell r="A8420" t="str">
            <v>C2A3</v>
          </cell>
        </row>
        <row r="8421">
          <cell r="A8421" t="str">
            <v>C300</v>
          </cell>
        </row>
        <row r="8422">
          <cell r="A8422" t="str">
            <v>C301</v>
          </cell>
        </row>
        <row r="8423">
          <cell r="A8423" t="str">
            <v>C302</v>
          </cell>
        </row>
        <row r="8424">
          <cell r="A8424" t="str">
            <v>C303</v>
          </cell>
        </row>
        <row r="8425">
          <cell r="A8425" t="str">
            <v>C304</v>
          </cell>
        </row>
        <row r="8426">
          <cell r="A8426" t="str">
            <v>C305</v>
          </cell>
        </row>
        <row r="8427">
          <cell r="A8427" t="str">
            <v>C306</v>
          </cell>
        </row>
        <row r="8428">
          <cell r="A8428" t="str">
            <v>C307</v>
          </cell>
        </row>
        <row r="8429">
          <cell r="A8429" t="str">
            <v>C308</v>
          </cell>
        </row>
        <row r="8430">
          <cell r="A8430" t="str">
            <v>C309</v>
          </cell>
        </row>
        <row r="8431">
          <cell r="A8431" t="str">
            <v>C30A</v>
          </cell>
        </row>
        <row r="8432">
          <cell r="A8432" t="str">
            <v>C30B</v>
          </cell>
        </row>
        <row r="8433">
          <cell r="A8433" t="str">
            <v>C30C</v>
          </cell>
        </row>
        <row r="8434">
          <cell r="A8434" t="str">
            <v>C30D</v>
          </cell>
        </row>
        <row r="8435">
          <cell r="A8435" t="str">
            <v>C30E</v>
          </cell>
        </row>
        <row r="8436">
          <cell r="A8436" t="str">
            <v>C310</v>
          </cell>
        </row>
        <row r="8437">
          <cell r="A8437" t="str">
            <v>C311</v>
          </cell>
        </row>
        <row r="8438">
          <cell r="A8438" t="str">
            <v>C312</v>
          </cell>
        </row>
        <row r="8439">
          <cell r="A8439" t="str">
            <v>C313</v>
          </cell>
        </row>
        <row r="8440">
          <cell r="A8440" t="str">
            <v>C314</v>
          </cell>
        </row>
        <row r="8441">
          <cell r="A8441" t="str">
            <v>C315</v>
          </cell>
        </row>
        <row r="8442">
          <cell r="A8442" t="str">
            <v>C316</v>
          </cell>
        </row>
        <row r="8443">
          <cell r="A8443" t="str">
            <v>C317</v>
          </cell>
        </row>
        <row r="8444">
          <cell r="A8444" t="str">
            <v>C318</v>
          </cell>
        </row>
        <row r="8445">
          <cell r="A8445" t="str">
            <v>C319</v>
          </cell>
        </row>
        <row r="8446">
          <cell r="A8446" t="str">
            <v>C31A</v>
          </cell>
        </row>
        <row r="8447">
          <cell r="A8447" t="str">
            <v>C31B</v>
          </cell>
        </row>
        <row r="8448">
          <cell r="A8448" t="str">
            <v>C320</v>
          </cell>
        </row>
        <row r="8449">
          <cell r="A8449" t="str">
            <v>C321</v>
          </cell>
        </row>
        <row r="8450">
          <cell r="A8450" t="str">
            <v>C322</v>
          </cell>
        </row>
        <row r="8451">
          <cell r="A8451" t="str">
            <v>C323</v>
          </cell>
        </row>
        <row r="8452">
          <cell r="A8452" t="str">
            <v>C324</v>
          </cell>
        </row>
        <row r="8453">
          <cell r="A8453" t="str">
            <v>C325</v>
          </cell>
        </row>
        <row r="8454">
          <cell r="A8454" t="str">
            <v>C326</v>
          </cell>
        </row>
        <row r="8455">
          <cell r="A8455" t="str">
            <v>C327</v>
          </cell>
        </row>
        <row r="8456">
          <cell r="A8456" t="str">
            <v>C328</v>
          </cell>
        </row>
        <row r="8457">
          <cell r="A8457" t="str">
            <v>C329</v>
          </cell>
        </row>
        <row r="8458">
          <cell r="A8458" t="str">
            <v>C330</v>
          </cell>
        </row>
        <row r="8459">
          <cell r="A8459" t="str">
            <v>C331</v>
          </cell>
        </row>
        <row r="8460">
          <cell r="A8460" t="str">
            <v>C332</v>
          </cell>
        </row>
        <row r="8461">
          <cell r="A8461" t="str">
            <v>C333</v>
          </cell>
        </row>
        <row r="8462">
          <cell r="A8462" t="str">
            <v>C334</v>
          </cell>
        </row>
        <row r="8463">
          <cell r="A8463" t="str">
            <v>C335</v>
          </cell>
        </row>
        <row r="8464">
          <cell r="A8464" t="str">
            <v>C336</v>
          </cell>
        </row>
        <row r="8465">
          <cell r="A8465" t="str">
            <v>C337</v>
          </cell>
        </row>
        <row r="8466">
          <cell r="A8466" t="str">
            <v>C338</v>
          </cell>
        </row>
        <row r="8467">
          <cell r="A8467" t="str">
            <v>C339</v>
          </cell>
        </row>
        <row r="8468">
          <cell r="A8468" t="str">
            <v>C400</v>
          </cell>
        </row>
        <row r="8469">
          <cell r="A8469" t="str">
            <v>C401</v>
          </cell>
        </row>
        <row r="8470">
          <cell r="A8470" t="str">
            <v>C402</v>
          </cell>
        </row>
        <row r="8471">
          <cell r="A8471" t="str">
            <v>C403</v>
          </cell>
        </row>
        <row r="8472">
          <cell r="A8472" t="str">
            <v>C404</v>
          </cell>
        </row>
        <row r="8473">
          <cell r="A8473" t="str">
            <v>C405</v>
          </cell>
        </row>
        <row r="8474">
          <cell r="A8474" t="str">
            <v>C406</v>
          </cell>
        </row>
        <row r="8475">
          <cell r="A8475" t="str">
            <v>C407</v>
          </cell>
        </row>
        <row r="8476">
          <cell r="A8476" t="str">
            <v>C408</v>
          </cell>
        </row>
        <row r="8477">
          <cell r="A8477" t="str">
            <v>C409</v>
          </cell>
        </row>
        <row r="8478">
          <cell r="A8478" t="str">
            <v>C40A</v>
          </cell>
        </row>
        <row r="8479">
          <cell r="A8479" t="str">
            <v>C40B</v>
          </cell>
        </row>
        <row r="8480">
          <cell r="A8480" t="str">
            <v>C40C</v>
          </cell>
        </row>
        <row r="8481">
          <cell r="A8481" t="str">
            <v>C40D</v>
          </cell>
        </row>
        <row r="8482">
          <cell r="A8482" t="str">
            <v>C40E</v>
          </cell>
        </row>
        <row r="8483">
          <cell r="A8483" t="str">
            <v>C40F</v>
          </cell>
        </row>
        <row r="8484">
          <cell r="A8484" t="str">
            <v>C410</v>
          </cell>
        </row>
        <row r="8485">
          <cell r="A8485" t="str">
            <v>C411</v>
          </cell>
        </row>
        <row r="8486">
          <cell r="A8486" t="str">
            <v>C412</v>
          </cell>
        </row>
        <row r="8487">
          <cell r="A8487" t="str">
            <v>C413</v>
          </cell>
        </row>
        <row r="8488">
          <cell r="A8488" t="str">
            <v>C414</v>
          </cell>
        </row>
        <row r="8489">
          <cell r="A8489" t="str">
            <v>C415</v>
          </cell>
        </row>
        <row r="8490">
          <cell r="A8490" t="str">
            <v>C416</v>
          </cell>
        </row>
        <row r="8491">
          <cell r="A8491" t="str">
            <v>C417</v>
          </cell>
        </row>
        <row r="8492">
          <cell r="A8492" t="str">
            <v>C418</v>
          </cell>
        </row>
        <row r="8493">
          <cell r="A8493" t="str">
            <v>C419</v>
          </cell>
        </row>
        <row r="8494">
          <cell r="A8494" t="str">
            <v>C41B</v>
          </cell>
        </row>
        <row r="8495">
          <cell r="A8495" t="str">
            <v>C41C</v>
          </cell>
        </row>
        <row r="8496">
          <cell r="A8496" t="str">
            <v>C41D</v>
          </cell>
        </row>
        <row r="8497">
          <cell r="A8497" t="str">
            <v>C41E</v>
          </cell>
        </row>
        <row r="8498">
          <cell r="A8498" t="str">
            <v>C41F</v>
          </cell>
        </row>
        <row r="8499">
          <cell r="A8499" t="str">
            <v>C420</v>
          </cell>
        </row>
        <row r="8500">
          <cell r="A8500" t="str">
            <v>C421</v>
          </cell>
        </row>
        <row r="8501">
          <cell r="A8501" t="str">
            <v>C422</v>
          </cell>
        </row>
        <row r="8502">
          <cell r="A8502" t="str">
            <v>C423</v>
          </cell>
        </row>
        <row r="8503">
          <cell r="A8503" t="str">
            <v>C424</v>
          </cell>
        </row>
        <row r="8504">
          <cell r="A8504" t="str">
            <v>C425</v>
          </cell>
        </row>
        <row r="8505">
          <cell r="A8505" t="str">
            <v>C426</v>
          </cell>
        </row>
        <row r="8506">
          <cell r="A8506" t="str">
            <v>C427</v>
          </cell>
        </row>
        <row r="8507">
          <cell r="A8507" t="str">
            <v>C428</v>
          </cell>
        </row>
        <row r="8508">
          <cell r="A8508" t="str">
            <v>C429</v>
          </cell>
        </row>
        <row r="8509">
          <cell r="A8509" t="str">
            <v>C42B</v>
          </cell>
        </row>
        <row r="8510">
          <cell r="A8510" t="str">
            <v>C42C</v>
          </cell>
        </row>
        <row r="8511">
          <cell r="A8511" t="str">
            <v>C42D</v>
          </cell>
        </row>
        <row r="8512">
          <cell r="A8512" t="str">
            <v>C42E</v>
          </cell>
        </row>
        <row r="8513">
          <cell r="A8513" t="str">
            <v>C430</v>
          </cell>
        </row>
        <row r="8514">
          <cell r="A8514" t="str">
            <v>C431</v>
          </cell>
        </row>
        <row r="8515">
          <cell r="A8515" t="str">
            <v>C432</v>
          </cell>
        </row>
        <row r="8516">
          <cell r="A8516" t="str">
            <v>C433</v>
          </cell>
        </row>
        <row r="8517">
          <cell r="A8517" t="str">
            <v>C434</v>
          </cell>
        </row>
        <row r="8518">
          <cell r="A8518" t="str">
            <v>C435</v>
          </cell>
        </row>
        <row r="8519">
          <cell r="A8519" t="str">
            <v>C436</v>
          </cell>
        </row>
        <row r="8520">
          <cell r="A8520" t="str">
            <v>C437</v>
          </cell>
        </row>
        <row r="8521">
          <cell r="A8521" t="str">
            <v>C438</v>
          </cell>
        </row>
        <row r="8522">
          <cell r="A8522" t="str">
            <v>C439</v>
          </cell>
        </row>
        <row r="8523">
          <cell r="A8523" t="str">
            <v>C43A</v>
          </cell>
        </row>
        <row r="8524">
          <cell r="A8524" t="str">
            <v>C43B</v>
          </cell>
        </row>
        <row r="8525">
          <cell r="A8525" t="str">
            <v>C43C</v>
          </cell>
        </row>
        <row r="8526">
          <cell r="A8526" t="str">
            <v>C43D</v>
          </cell>
        </row>
        <row r="8527">
          <cell r="A8527" t="str">
            <v>C441</v>
          </cell>
        </row>
        <row r="8528">
          <cell r="A8528" t="str">
            <v>C442</v>
          </cell>
        </row>
        <row r="8529">
          <cell r="A8529" t="str">
            <v>C443</v>
          </cell>
        </row>
        <row r="8530">
          <cell r="A8530" t="str">
            <v>C444</v>
          </cell>
        </row>
        <row r="8531">
          <cell r="A8531" t="str">
            <v>C445</v>
          </cell>
        </row>
        <row r="8532">
          <cell r="A8532" t="str">
            <v>C446</v>
          </cell>
        </row>
        <row r="8533">
          <cell r="A8533" t="str">
            <v>C447</v>
          </cell>
        </row>
        <row r="8534">
          <cell r="A8534" t="str">
            <v>C448</v>
          </cell>
        </row>
        <row r="8535">
          <cell r="A8535" t="str">
            <v>C449</v>
          </cell>
        </row>
        <row r="8536">
          <cell r="A8536" t="str">
            <v>C44A</v>
          </cell>
        </row>
        <row r="8537">
          <cell r="A8537" t="str">
            <v>C451</v>
          </cell>
        </row>
        <row r="8538">
          <cell r="A8538" t="str">
            <v>C452</v>
          </cell>
        </row>
        <row r="8539">
          <cell r="A8539" t="str">
            <v>C453</v>
          </cell>
        </row>
        <row r="8540">
          <cell r="A8540" t="str">
            <v>C454</v>
          </cell>
        </row>
        <row r="8541">
          <cell r="A8541" t="str">
            <v>C455</v>
          </cell>
        </row>
        <row r="8542">
          <cell r="A8542" t="str">
            <v>C456</v>
          </cell>
        </row>
        <row r="8543">
          <cell r="A8543" t="str">
            <v>C457</v>
          </cell>
        </row>
        <row r="8544">
          <cell r="A8544" t="str">
            <v>C458</v>
          </cell>
        </row>
        <row r="8545">
          <cell r="A8545" t="str">
            <v>C459</v>
          </cell>
        </row>
        <row r="8546">
          <cell r="A8546" t="str">
            <v>C45A</v>
          </cell>
        </row>
        <row r="8547">
          <cell r="A8547" t="str">
            <v>C461</v>
          </cell>
        </row>
        <row r="8548">
          <cell r="A8548" t="str">
            <v>C462</v>
          </cell>
        </row>
        <row r="8549">
          <cell r="A8549" t="str">
            <v>C463</v>
          </cell>
        </row>
        <row r="8550">
          <cell r="A8550" t="str">
            <v>C464</v>
          </cell>
        </row>
        <row r="8551">
          <cell r="A8551" t="str">
            <v>C465</v>
          </cell>
        </row>
        <row r="8552">
          <cell r="A8552" t="str">
            <v>C466</v>
          </cell>
        </row>
        <row r="8553">
          <cell r="A8553" t="str">
            <v>C467</v>
          </cell>
        </row>
        <row r="8554">
          <cell r="A8554" t="str">
            <v>C468</v>
          </cell>
        </row>
        <row r="8555">
          <cell r="A8555" t="str">
            <v>C469</v>
          </cell>
        </row>
        <row r="8556">
          <cell r="A8556" t="str">
            <v>C46A</v>
          </cell>
        </row>
        <row r="8557">
          <cell r="A8557" t="str">
            <v>C46B</v>
          </cell>
        </row>
        <row r="8558">
          <cell r="A8558" t="str">
            <v>C46C</v>
          </cell>
        </row>
        <row r="8559">
          <cell r="A8559" t="str">
            <v>C46D</v>
          </cell>
        </row>
        <row r="8560">
          <cell r="A8560" t="str">
            <v>C471</v>
          </cell>
        </row>
        <row r="8561">
          <cell r="A8561" t="str">
            <v>C472</v>
          </cell>
        </row>
        <row r="8562">
          <cell r="A8562" t="str">
            <v>C473</v>
          </cell>
        </row>
        <row r="8563">
          <cell r="A8563" t="str">
            <v>C474</v>
          </cell>
        </row>
        <row r="8564">
          <cell r="A8564" t="str">
            <v>C475</v>
          </cell>
        </row>
        <row r="8565">
          <cell r="A8565" t="str">
            <v>C476</v>
          </cell>
        </row>
        <row r="8566">
          <cell r="A8566" t="str">
            <v>C477</v>
          </cell>
        </row>
        <row r="8567">
          <cell r="A8567" t="str">
            <v>C478</v>
          </cell>
        </row>
        <row r="8568">
          <cell r="A8568" t="str">
            <v>C479</v>
          </cell>
        </row>
        <row r="8569">
          <cell r="A8569" t="str">
            <v>C47A</v>
          </cell>
        </row>
        <row r="8570">
          <cell r="A8570" t="str">
            <v>C47B</v>
          </cell>
        </row>
        <row r="8571">
          <cell r="A8571" t="str">
            <v>C47C</v>
          </cell>
        </row>
        <row r="8572">
          <cell r="A8572" t="str">
            <v>C47D</v>
          </cell>
        </row>
        <row r="8573">
          <cell r="A8573" t="str">
            <v>C47E</v>
          </cell>
        </row>
        <row r="8574">
          <cell r="A8574" t="str">
            <v>C47F</v>
          </cell>
        </row>
        <row r="8575">
          <cell r="A8575" t="str">
            <v>C480</v>
          </cell>
        </row>
        <row r="8576">
          <cell r="A8576" t="str">
            <v>C481</v>
          </cell>
        </row>
        <row r="8577">
          <cell r="A8577" t="str">
            <v>C482</v>
          </cell>
        </row>
        <row r="8578">
          <cell r="A8578" t="str">
            <v>C483</v>
          </cell>
        </row>
        <row r="8579">
          <cell r="A8579" t="str">
            <v>C484</v>
          </cell>
        </row>
        <row r="8580">
          <cell r="A8580" t="str">
            <v>C485</v>
          </cell>
        </row>
        <row r="8581">
          <cell r="A8581" t="str">
            <v>C486</v>
          </cell>
        </row>
        <row r="8582">
          <cell r="A8582" t="str">
            <v>C487</v>
          </cell>
        </row>
        <row r="8583">
          <cell r="A8583" t="str">
            <v>C488</v>
          </cell>
        </row>
        <row r="8584">
          <cell r="A8584" t="str">
            <v>C489</v>
          </cell>
        </row>
        <row r="8585">
          <cell r="A8585" t="str">
            <v>C48A</v>
          </cell>
        </row>
        <row r="8586">
          <cell r="A8586" t="str">
            <v>C491</v>
          </cell>
        </row>
        <row r="8587">
          <cell r="A8587" t="str">
            <v>C492</v>
          </cell>
        </row>
        <row r="8588">
          <cell r="A8588" t="str">
            <v>C493</v>
          </cell>
        </row>
        <row r="8589">
          <cell r="A8589" t="str">
            <v>C494</v>
          </cell>
        </row>
        <row r="8590">
          <cell r="A8590" t="str">
            <v>C495</v>
          </cell>
        </row>
        <row r="8591">
          <cell r="A8591" t="str">
            <v>C496</v>
          </cell>
        </row>
        <row r="8592">
          <cell r="A8592" t="str">
            <v>C497</v>
          </cell>
        </row>
        <row r="8593">
          <cell r="A8593" t="str">
            <v>C498</v>
          </cell>
        </row>
        <row r="8594">
          <cell r="A8594" t="str">
            <v>C499</v>
          </cell>
        </row>
        <row r="8595">
          <cell r="A8595" t="str">
            <v>C49A</v>
          </cell>
        </row>
        <row r="8596">
          <cell r="A8596" t="str">
            <v>C49B</v>
          </cell>
        </row>
        <row r="8597">
          <cell r="A8597" t="str">
            <v>C49C</v>
          </cell>
        </row>
        <row r="8598">
          <cell r="A8598" t="str">
            <v>C49D</v>
          </cell>
        </row>
        <row r="8599">
          <cell r="A8599" t="str">
            <v>C49E</v>
          </cell>
        </row>
        <row r="8600">
          <cell r="A8600" t="str">
            <v>C49F</v>
          </cell>
        </row>
        <row r="8601">
          <cell r="A8601" t="str">
            <v>C4A0</v>
          </cell>
        </row>
        <row r="8602">
          <cell r="A8602" t="str">
            <v>C4A4</v>
          </cell>
        </row>
        <row r="8603">
          <cell r="A8603" t="str">
            <v>C501</v>
          </cell>
        </row>
        <row r="8604">
          <cell r="A8604" t="str">
            <v>C502</v>
          </cell>
        </row>
        <row r="8605">
          <cell r="A8605" t="str">
            <v>C503</v>
          </cell>
        </row>
        <row r="8606">
          <cell r="A8606" t="str">
            <v>C504</v>
          </cell>
        </row>
        <row r="8607">
          <cell r="A8607" t="str">
            <v>C505</v>
          </cell>
        </row>
        <row r="8608">
          <cell r="A8608" t="str">
            <v>C506</v>
          </cell>
        </row>
        <row r="8609">
          <cell r="A8609" t="str">
            <v>C507</v>
          </cell>
        </row>
        <row r="8610">
          <cell r="A8610" t="str">
            <v>C508</v>
          </cell>
        </row>
        <row r="8611">
          <cell r="A8611" t="str">
            <v>C509</v>
          </cell>
        </row>
        <row r="8612">
          <cell r="A8612" t="str">
            <v>C50A</v>
          </cell>
        </row>
        <row r="8613">
          <cell r="A8613" t="str">
            <v>C511</v>
          </cell>
        </row>
        <row r="8614">
          <cell r="A8614" t="str">
            <v>C512</v>
          </cell>
        </row>
        <row r="8615">
          <cell r="A8615" t="str">
            <v>C513</v>
          </cell>
        </row>
        <row r="8616">
          <cell r="A8616" t="str">
            <v>C514</v>
          </cell>
        </row>
        <row r="8617">
          <cell r="A8617" t="str">
            <v>C515</v>
          </cell>
        </row>
        <row r="8618">
          <cell r="A8618" t="str">
            <v>C516</v>
          </cell>
        </row>
        <row r="8619">
          <cell r="A8619" t="str">
            <v>C517</v>
          </cell>
        </row>
        <row r="8620">
          <cell r="A8620" t="str">
            <v>C518</v>
          </cell>
        </row>
        <row r="8621">
          <cell r="A8621" t="str">
            <v>C519</v>
          </cell>
        </row>
        <row r="8622">
          <cell r="A8622" t="str">
            <v>C51A</v>
          </cell>
        </row>
        <row r="8623">
          <cell r="A8623" t="str">
            <v>C521</v>
          </cell>
        </row>
        <row r="8624">
          <cell r="A8624" t="str">
            <v>C522</v>
          </cell>
        </row>
        <row r="8625">
          <cell r="A8625" t="str">
            <v>C523</v>
          </cell>
        </row>
        <row r="8626">
          <cell r="A8626" t="str">
            <v>C524</v>
          </cell>
        </row>
        <row r="8627">
          <cell r="A8627" t="str">
            <v>C525</v>
          </cell>
        </row>
        <row r="8628">
          <cell r="A8628" t="str">
            <v>C526</v>
          </cell>
        </row>
        <row r="8629">
          <cell r="A8629" t="str">
            <v>C527</v>
          </cell>
        </row>
        <row r="8630">
          <cell r="A8630" t="str">
            <v>C528</v>
          </cell>
        </row>
        <row r="8631">
          <cell r="A8631" t="str">
            <v>C529</v>
          </cell>
        </row>
        <row r="8632">
          <cell r="A8632" t="str">
            <v>C52A</v>
          </cell>
        </row>
        <row r="8633">
          <cell r="A8633" t="str">
            <v>C531</v>
          </cell>
        </row>
        <row r="8634">
          <cell r="A8634" t="str">
            <v>C532</v>
          </cell>
        </row>
        <row r="8635">
          <cell r="A8635" t="str">
            <v>C533</v>
          </cell>
        </row>
        <row r="8636">
          <cell r="A8636" t="str">
            <v>C534</v>
          </cell>
        </row>
        <row r="8637">
          <cell r="A8637" t="str">
            <v>C535</v>
          </cell>
        </row>
        <row r="8638">
          <cell r="A8638" t="str">
            <v>C536</v>
          </cell>
        </row>
        <row r="8639">
          <cell r="A8639" t="str">
            <v>C537</v>
          </cell>
        </row>
        <row r="8640">
          <cell r="A8640" t="str">
            <v>C538</v>
          </cell>
        </row>
        <row r="8641">
          <cell r="A8641" t="str">
            <v>C539</v>
          </cell>
        </row>
        <row r="8642">
          <cell r="A8642" t="str">
            <v>C53A</v>
          </cell>
        </row>
        <row r="8643">
          <cell r="A8643" t="str">
            <v>C53B</v>
          </cell>
        </row>
        <row r="8644">
          <cell r="A8644" t="str">
            <v>C53C</v>
          </cell>
        </row>
        <row r="8645">
          <cell r="A8645" t="str">
            <v>C541</v>
          </cell>
        </row>
        <row r="8646">
          <cell r="A8646" t="str">
            <v>C542</v>
          </cell>
        </row>
        <row r="8647">
          <cell r="A8647" t="str">
            <v>C543</v>
          </cell>
        </row>
        <row r="8648">
          <cell r="A8648" t="str">
            <v>C544</v>
          </cell>
        </row>
        <row r="8649">
          <cell r="A8649" t="str">
            <v>C545</v>
          </cell>
        </row>
        <row r="8650">
          <cell r="A8650" t="str">
            <v>C546</v>
          </cell>
        </row>
        <row r="8651">
          <cell r="A8651" t="str">
            <v>C547</v>
          </cell>
        </row>
        <row r="8652">
          <cell r="A8652" t="str">
            <v>C548</v>
          </cell>
        </row>
        <row r="8653">
          <cell r="A8653" t="str">
            <v>C549</v>
          </cell>
        </row>
        <row r="8654">
          <cell r="A8654" t="str">
            <v>C54A</v>
          </cell>
        </row>
        <row r="8655">
          <cell r="A8655" t="str">
            <v>C54B</v>
          </cell>
        </row>
        <row r="8656">
          <cell r="A8656" t="str">
            <v>C54C</v>
          </cell>
        </row>
        <row r="8657">
          <cell r="A8657" t="str">
            <v>C54D</v>
          </cell>
        </row>
        <row r="8658">
          <cell r="A8658" t="str">
            <v>C551</v>
          </cell>
        </row>
        <row r="8659">
          <cell r="A8659" t="str">
            <v>C552</v>
          </cell>
        </row>
        <row r="8660">
          <cell r="A8660" t="str">
            <v>C553</v>
          </cell>
        </row>
        <row r="8661">
          <cell r="A8661" t="str">
            <v>C554</v>
          </cell>
        </row>
        <row r="8662">
          <cell r="A8662" t="str">
            <v>C555</v>
          </cell>
        </row>
        <row r="8663">
          <cell r="A8663" t="str">
            <v>C556</v>
          </cell>
        </row>
        <row r="8664">
          <cell r="A8664" t="str">
            <v>C557</v>
          </cell>
        </row>
        <row r="8665">
          <cell r="A8665" t="str">
            <v>C558</v>
          </cell>
        </row>
        <row r="8666">
          <cell r="A8666" t="str">
            <v>C559</v>
          </cell>
        </row>
        <row r="8667">
          <cell r="A8667" t="str">
            <v>C55A</v>
          </cell>
        </row>
        <row r="8668">
          <cell r="A8668" t="str">
            <v>C55B</v>
          </cell>
        </row>
        <row r="8669">
          <cell r="A8669" t="str">
            <v>C55C</v>
          </cell>
        </row>
        <row r="8670">
          <cell r="A8670" t="str">
            <v>C55D</v>
          </cell>
        </row>
        <row r="8671">
          <cell r="A8671" t="str">
            <v>C55E</v>
          </cell>
        </row>
        <row r="8672">
          <cell r="A8672" t="str">
            <v>C561</v>
          </cell>
        </row>
        <row r="8673">
          <cell r="A8673" t="str">
            <v>C562</v>
          </cell>
        </row>
        <row r="8674">
          <cell r="A8674" t="str">
            <v>C563</v>
          </cell>
        </row>
        <row r="8675">
          <cell r="A8675" t="str">
            <v>C564</v>
          </cell>
        </row>
        <row r="8676">
          <cell r="A8676" t="str">
            <v>C565</v>
          </cell>
        </row>
        <row r="8677">
          <cell r="A8677" t="str">
            <v>C566</v>
          </cell>
        </row>
        <row r="8678">
          <cell r="A8678" t="str">
            <v>C567</v>
          </cell>
        </row>
        <row r="8679">
          <cell r="A8679" t="str">
            <v>C568</v>
          </cell>
        </row>
        <row r="8680">
          <cell r="A8680" t="str">
            <v>C569</v>
          </cell>
        </row>
        <row r="8681">
          <cell r="A8681" t="str">
            <v>C56A</v>
          </cell>
        </row>
        <row r="8682">
          <cell r="A8682" t="str">
            <v>C56B</v>
          </cell>
        </row>
        <row r="8683">
          <cell r="A8683" t="str">
            <v>C56C</v>
          </cell>
        </row>
        <row r="8684">
          <cell r="A8684" t="str">
            <v>C56D</v>
          </cell>
        </row>
        <row r="8685">
          <cell r="A8685" t="str">
            <v>C56E</v>
          </cell>
        </row>
        <row r="8686">
          <cell r="A8686" t="str">
            <v>C56F</v>
          </cell>
        </row>
        <row r="8687">
          <cell r="A8687" t="str">
            <v>C570</v>
          </cell>
        </row>
        <row r="8688">
          <cell r="A8688" t="str">
            <v>C571</v>
          </cell>
        </row>
        <row r="8689">
          <cell r="A8689" t="str">
            <v>C585</v>
          </cell>
        </row>
        <row r="8690">
          <cell r="A8690" t="str">
            <v>C586</v>
          </cell>
        </row>
        <row r="8691">
          <cell r="A8691" t="str">
            <v>C587</v>
          </cell>
        </row>
        <row r="8692">
          <cell r="A8692" t="str">
            <v>C588</v>
          </cell>
        </row>
        <row r="8693">
          <cell r="A8693" t="str">
            <v>C589</v>
          </cell>
        </row>
        <row r="8694">
          <cell r="A8694" t="str">
            <v>C58A</v>
          </cell>
        </row>
        <row r="8695">
          <cell r="A8695" t="str">
            <v>C592</v>
          </cell>
        </row>
        <row r="8696">
          <cell r="A8696" t="str">
            <v>C593</v>
          </cell>
        </row>
        <row r="8697">
          <cell r="A8697" t="str">
            <v>C594</v>
          </cell>
        </row>
        <row r="8698">
          <cell r="A8698" t="str">
            <v>C595</v>
          </cell>
        </row>
        <row r="8699">
          <cell r="A8699" t="str">
            <v>C596</v>
          </cell>
        </row>
        <row r="8700">
          <cell r="A8700" t="str">
            <v>C597</v>
          </cell>
        </row>
        <row r="8701">
          <cell r="A8701" t="str">
            <v>C598</v>
          </cell>
        </row>
        <row r="8702">
          <cell r="A8702" t="str">
            <v>C599</v>
          </cell>
        </row>
        <row r="8703">
          <cell r="A8703" t="str">
            <v>C59A</v>
          </cell>
        </row>
        <row r="8704">
          <cell r="A8704" t="str">
            <v>C59B</v>
          </cell>
        </row>
        <row r="8705">
          <cell r="A8705" t="str">
            <v>C59C</v>
          </cell>
        </row>
        <row r="8706">
          <cell r="A8706" t="str">
            <v>C59D</v>
          </cell>
        </row>
        <row r="8707">
          <cell r="A8707" t="str">
            <v>C59E</v>
          </cell>
        </row>
        <row r="8708">
          <cell r="A8708" t="str">
            <v>C59F</v>
          </cell>
        </row>
        <row r="8709">
          <cell r="A8709" t="str">
            <v>C5A0</v>
          </cell>
        </row>
        <row r="8710">
          <cell r="A8710" t="str">
            <v>C5A1</v>
          </cell>
        </row>
        <row r="8711">
          <cell r="A8711" t="str">
            <v>C5A2</v>
          </cell>
        </row>
        <row r="8712">
          <cell r="A8712" t="str">
            <v>C5A3</v>
          </cell>
        </row>
        <row r="8713">
          <cell r="A8713" t="str">
            <v>C5A4</v>
          </cell>
        </row>
        <row r="8714">
          <cell r="A8714" t="str">
            <v>D000</v>
          </cell>
        </row>
        <row r="8715">
          <cell r="A8715" t="str">
            <v>D001</v>
          </cell>
        </row>
        <row r="8716">
          <cell r="A8716" t="str">
            <v>D002</v>
          </cell>
        </row>
        <row r="8717">
          <cell r="A8717" t="str">
            <v>D003</v>
          </cell>
        </row>
        <row r="8718">
          <cell r="A8718" t="str">
            <v>D004</v>
          </cell>
        </row>
        <row r="8719">
          <cell r="A8719" t="str">
            <v>D005</v>
          </cell>
        </row>
        <row r="8720">
          <cell r="A8720" t="str">
            <v>D006</v>
          </cell>
        </row>
        <row r="8721">
          <cell r="A8721" t="str">
            <v>D007</v>
          </cell>
        </row>
        <row r="8722">
          <cell r="A8722" t="str">
            <v>D008</v>
          </cell>
        </row>
        <row r="8723">
          <cell r="A8723" t="str">
            <v>D009</v>
          </cell>
        </row>
        <row r="8724">
          <cell r="A8724" t="str">
            <v>D00A</v>
          </cell>
        </row>
        <row r="8725">
          <cell r="A8725" t="str">
            <v>D00B</v>
          </cell>
        </row>
        <row r="8726">
          <cell r="A8726" t="str">
            <v>D00C</v>
          </cell>
        </row>
        <row r="8727">
          <cell r="A8727" t="str">
            <v>D00D</v>
          </cell>
        </row>
        <row r="8728">
          <cell r="A8728" t="str">
            <v>D00E</v>
          </cell>
        </row>
        <row r="8729">
          <cell r="A8729" t="str">
            <v>D00F</v>
          </cell>
        </row>
        <row r="8730">
          <cell r="A8730" t="str">
            <v>D010</v>
          </cell>
        </row>
        <row r="8731">
          <cell r="A8731" t="str">
            <v>D011</v>
          </cell>
        </row>
        <row r="8732">
          <cell r="A8732" t="str">
            <v>D012</v>
          </cell>
        </row>
        <row r="8733">
          <cell r="A8733" t="str">
            <v>D013</v>
          </cell>
        </row>
        <row r="8734">
          <cell r="A8734" t="str">
            <v>D014</v>
          </cell>
        </row>
        <row r="8735">
          <cell r="A8735" t="str">
            <v>D015</v>
          </cell>
        </row>
        <row r="8736">
          <cell r="A8736" t="str">
            <v>D016</v>
          </cell>
        </row>
        <row r="8737">
          <cell r="A8737" t="str">
            <v>D017</v>
          </cell>
        </row>
        <row r="8738">
          <cell r="A8738" t="str">
            <v>D018</v>
          </cell>
        </row>
        <row r="8739">
          <cell r="A8739" t="str">
            <v>D019</v>
          </cell>
        </row>
        <row r="8740">
          <cell r="A8740" t="str">
            <v>D01A</v>
          </cell>
        </row>
        <row r="8741">
          <cell r="A8741" t="str">
            <v>D01B</v>
          </cell>
        </row>
        <row r="8742">
          <cell r="A8742" t="str">
            <v>D01C</v>
          </cell>
        </row>
        <row r="8743">
          <cell r="A8743" t="str">
            <v>D01D</v>
          </cell>
        </row>
        <row r="8744">
          <cell r="A8744" t="str">
            <v>D01E</v>
          </cell>
        </row>
        <row r="8745">
          <cell r="A8745" t="str">
            <v>D01F</v>
          </cell>
        </row>
        <row r="8746">
          <cell r="A8746" t="str">
            <v>DA00</v>
          </cell>
        </row>
        <row r="8747">
          <cell r="A8747" t="str">
            <v>DA01</v>
          </cell>
        </row>
        <row r="8748">
          <cell r="A8748" t="str">
            <v>DA14</v>
          </cell>
        </row>
        <row r="8749">
          <cell r="A8749" t="str">
            <v>DA4B</v>
          </cell>
        </row>
        <row r="8750">
          <cell r="A8750" t="str">
            <v>DA4C</v>
          </cell>
        </row>
        <row r="8751">
          <cell r="A8751" t="str">
            <v>E000</v>
          </cell>
        </row>
        <row r="8752">
          <cell r="A8752" t="str">
            <v>E001</v>
          </cell>
        </row>
        <row r="8753">
          <cell r="A8753" t="str">
            <v>E002</v>
          </cell>
        </row>
        <row r="8754">
          <cell r="A8754" t="str">
            <v>E003</v>
          </cell>
        </row>
        <row r="8755">
          <cell r="A8755" t="str">
            <v>E004</v>
          </cell>
        </row>
        <row r="8756">
          <cell r="A8756" t="str">
            <v>E005</v>
          </cell>
        </row>
        <row r="8757">
          <cell r="A8757" t="str">
            <v>E006</v>
          </cell>
        </row>
        <row r="8758">
          <cell r="A8758" t="str">
            <v>E007</v>
          </cell>
        </row>
        <row r="8759">
          <cell r="A8759" t="str">
            <v>E008</v>
          </cell>
        </row>
        <row r="8760">
          <cell r="A8760" t="str">
            <v>E009</v>
          </cell>
        </row>
        <row r="8761">
          <cell r="A8761" t="str">
            <v>E00A</v>
          </cell>
        </row>
        <row r="8762">
          <cell r="A8762" t="str">
            <v>E00B</v>
          </cell>
        </row>
        <row r="8763">
          <cell r="A8763" t="str">
            <v>E00C</v>
          </cell>
        </row>
        <row r="8764">
          <cell r="A8764" t="str">
            <v>E00D</v>
          </cell>
        </row>
        <row r="8765">
          <cell r="A8765" t="str">
            <v>E00E</v>
          </cell>
        </row>
        <row r="8766">
          <cell r="A8766" t="str">
            <v>E00F</v>
          </cell>
        </row>
        <row r="8767">
          <cell r="A8767" t="str">
            <v>E010</v>
          </cell>
        </row>
        <row r="8768">
          <cell r="A8768" t="str">
            <v>E011</v>
          </cell>
        </row>
        <row r="8769">
          <cell r="A8769" t="str">
            <v>E012</v>
          </cell>
        </row>
        <row r="8770">
          <cell r="A8770" t="str">
            <v>E013</v>
          </cell>
        </row>
        <row r="8771">
          <cell r="A8771" t="str">
            <v>E014</v>
          </cell>
        </row>
        <row r="8772">
          <cell r="A8772" t="str">
            <v>E015</v>
          </cell>
        </row>
        <row r="8773">
          <cell r="A8773" t="str">
            <v>E016</v>
          </cell>
        </row>
        <row r="8774">
          <cell r="A8774" t="str">
            <v>E017</v>
          </cell>
        </row>
        <row r="8775">
          <cell r="A8775" t="str">
            <v>E018</v>
          </cell>
        </row>
        <row r="8776">
          <cell r="A8776" t="str">
            <v>E019</v>
          </cell>
        </row>
        <row r="8777">
          <cell r="A8777" t="str">
            <v>E01A</v>
          </cell>
        </row>
        <row r="8778">
          <cell r="A8778" t="str">
            <v>E01B</v>
          </cell>
        </row>
        <row r="8779">
          <cell r="A8779" t="str">
            <v>E01C</v>
          </cell>
        </row>
        <row r="8780">
          <cell r="A8780" t="str">
            <v>E01D</v>
          </cell>
        </row>
        <row r="8781">
          <cell r="A8781" t="str">
            <v>E01F</v>
          </cell>
        </row>
        <row r="8782">
          <cell r="A8782" t="str">
            <v>E020</v>
          </cell>
        </row>
        <row r="8783">
          <cell r="A8783" t="str">
            <v>E021</v>
          </cell>
        </row>
        <row r="8784">
          <cell r="A8784" t="str">
            <v>E022</v>
          </cell>
        </row>
        <row r="8785">
          <cell r="A8785" t="str">
            <v>E023</v>
          </cell>
        </row>
        <row r="8786">
          <cell r="A8786" t="str">
            <v>E024</v>
          </cell>
        </row>
        <row r="8787">
          <cell r="A8787" t="str">
            <v>E025</v>
          </cell>
        </row>
        <row r="8788">
          <cell r="A8788" t="str">
            <v>E026</v>
          </cell>
        </row>
        <row r="8789">
          <cell r="A8789" t="str">
            <v>E027</v>
          </cell>
        </row>
        <row r="8790">
          <cell r="A8790" t="str">
            <v>E028</v>
          </cell>
        </row>
        <row r="8791">
          <cell r="A8791" t="str">
            <v>E100</v>
          </cell>
        </row>
        <row r="8792">
          <cell r="A8792" t="str">
            <v>E101</v>
          </cell>
        </row>
        <row r="8793">
          <cell r="A8793" t="str">
            <v>E102</v>
          </cell>
        </row>
        <row r="8794">
          <cell r="A8794" t="str">
            <v>E103</v>
          </cell>
        </row>
        <row r="8795">
          <cell r="A8795" t="str">
            <v>E104</v>
          </cell>
        </row>
        <row r="8796">
          <cell r="A8796" t="str">
            <v>E105</v>
          </cell>
        </row>
        <row r="8797">
          <cell r="A8797" t="str">
            <v>E106</v>
          </cell>
        </row>
        <row r="8798">
          <cell r="A8798" t="str">
            <v>E107</v>
          </cell>
        </row>
        <row r="8799">
          <cell r="A8799" t="str">
            <v>E108</v>
          </cell>
        </row>
        <row r="8800">
          <cell r="A8800" t="str">
            <v>E109</v>
          </cell>
        </row>
        <row r="8801">
          <cell r="A8801" t="str">
            <v>E10A</v>
          </cell>
        </row>
        <row r="8802">
          <cell r="A8802" t="str">
            <v>E10B</v>
          </cell>
        </row>
        <row r="8803">
          <cell r="A8803" t="str">
            <v>E10C</v>
          </cell>
        </row>
        <row r="8804">
          <cell r="A8804" t="str">
            <v>E10D</v>
          </cell>
        </row>
        <row r="8805">
          <cell r="A8805" t="str">
            <v>E10E</v>
          </cell>
        </row>
        <row r="8806">
          <cell r="A8806" t="str">
            <v>E200</v>
          </cell>
        </row>
        <row r="8807">
          <cell r="A8807" t="str">
            <v>E300</v>
          </cell>
        </row>
        <row r="8808">
          <cell r="A8808" t="str">
            <v>F000</v>
          </cell>
        </row>
        <row r="8809">
          <cell r="A8809" t="str">
            <v>F001</v>
          </cell>
        </row>
        <row r="8810">
          <cell r="A8810" t="str">
            <v>F002</v>
          </cell>
        </row>
        <row r="8811">
          <cell r="A8811" t="str">
            <v>F003</v>
          </cell>
        </row>
        <row r="8812">
          <cell r="A8812" t="str">
            <v>F004</v>
          </cell>
        </row>
        <row r="8813">
          <cell r="A8813" t="str">
            <v>F005</v>
          </cell>
        </row>
        <row r="8814">
          <cell r="A8814" t="str">
            <v>F006</v>
          </cell>
        </row>
        <row r="8815">
          <cell r="A8815" t="str">
            <v>F007</v>
          </cell>
        </row>
        <row r="8816">
          <cell r="A8816" t="str">
            <v>F008</v>
          </cell>
        </row>
        <row r="8817">
          <cell r="A8817" t="str">
            <v>F009</v>
          </cell>
        </row>
        <row r="8818">
          <cell r="A8818" t="str">
            <v>F00A</v>
          </cell>
        </row>
        <row r="8819">
          <cell r="A8819" t="str">
            <v>F00B</v>
          </cell>
        </row>
        <row r="8820">
          <cell r="A8820" t="str">
            <v>F00C</v>
          </cell>
        </row>
        <row r="8821">
          <cell r="A8821" t="str">
            <v>F00D</v>
          </cell>
        </row>
        <row r="8822">
          <cell r="A8822" t="str">
            <v>F00E</v>
          </cell>
        </row>
        <row r="8823">
          <cell r="A8823" t="str">
            <v>F00F</v>
          </cell>
        </row>
        <row r="8824">
          <cell r="A8824" t="str">
            <v>F010</v>
          </cell>
        </row>
        <row r="8825">
          <cell r="A8825" t="str">
            <v>F011</v>
          </cell>
        </row>
        <row r="8826">
          <cell r="A8826" t="str">
            <v>F012</v>
          </cell>
        </row>
        <row r="8827">
          <cell r="A8827" t="str">
            <v>F013</v>
          </cell>
        </row>
        <row r="8828">
          <cell r="A8828" t="str">
            <v>F014</v>
          </cell>
        </row>
        <row r="8829">
          <cell r="A8829" t="str">
            <v>F015</v>
          </cell>
        </row>
        <row r="8830">
          <cell r="A8830" t="str">
            <v>F016</v>
          </cell>
        </row>
        <row r="8831">
          <cell r="A8831" t="str">
            <v>F017</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
      <sheetName val="Weightings"/>
      <sheetName val="Standard Units"/>
      <sheetName val="CAN Comparison Sheet"/>
      <sheetName val="L359 Giant"/>
      <sheetName val="FNA Giant"/>
      <sheetName val="HEV Giant"/>
      <sheetName val="Diesel Giant"/>
      <sheetName val="Nodes"/>
    </sheetNames>
    <sheetDataSet>
      <sheetData sheetId="0"/>
      <sheetData sheetId="1"/>
      <sheetData sheetId="2"/>
      <sheetData sheetId="3"/>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22(GBP)"/>
      <sheetName val="Top22_GBP_"/>
      <sheetName val="CAN Comparison Sheet"/>
    </sheetNames>
    <sheetDataSet>
      <sheetData sheetId="0" refreshError="1">
        <row r="32">
          <cell r="C32">
            <v>33.56</v>
          </cell>
        </row>
      </sheetData>
      <sheetData sheetId="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Issues List"/>
      <sheetName val="Contents"/>
      <sheetName val="Diagnostic Services"/>
      <sheetName val="Diag Sessions and Security"/>
      <sheetName val="DiagRoutine (1)"/>
      <sheetName val="DiagRoutine (2)"/>
      <sheetName val="DiagRoutine (3)"/>
      <sheetName val="DiagRoutine (4)"/>
      <sheetName val="DiagRoutine (5)"/>
      <sheetName val="DiagRoutine (6)"/>
      <sheetName val="DiagRoutine (7)"/>
      <sheetName val="DiagRoutine (8)"/>
      <sheetName val="DiagRoutine (9)"/>
      <sheetName val="DiagRoutine (10)"/>
      <sheetName val="DiagRoutine (11)"/>
      <sheetName val="DiagRoutine (12)"/>
      <sheetName val="DiagRoutine (13)"/>
      <sheetName val="DiagRoutine (14)"/>
      <sheetName val="DiagRoutine (15)"/>
      <sheetName val="DiagRoutine (16)"/>
      <sheetName val="DiagRoutine (17)"/>
      <sheetName val="DiagRoutine (18)"/>
      <sheetName val="DiagRoutine (19)"/>
      <sheetName val="DiagRoutine (20)"/>
      <sheetName val="DiagRoutine (21)"/>
      <sheetName val="DiagRoutine (22)"/>
      <sheetName val="DiagRoutine (23)"/>
      <sheetName val="DiagRoutine (24)"/>
      <sheetName val="DiagRoutine (25)"/>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ECU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ConfigData-GCC"/>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Units"/>
      <sheetName val="Ref_T5"/>
      <sheetName val="Ref_EUCD"/>
      <sheetName val="Ref_Models"/>
      <sheetName val="Ref_ISOTestIds"/>
      <sheetName val="Ref_ScalingIds"/>
      <sheetName val="Checks"/>
      <sheetName val="Extracts"/>
      <sheetName val="Import"/>
      <sheetName val="Help"/>
      <sheetName val="DiagRoutine"/>
      <sheetName val="About"/>
      <sheetName val="Maintenance"/>
      <sheetName val="Detail Review Record"/>
      <sheetName val="Ref_Ranges"/>
      <sheetName val="Events"/>
    </sheetNames>
    <sheetDataSet>
      <sheetData sheetId="0">
        <row r="26">
          <cell r="D26" t="str">
            <v>GS</v>
          </cell>
        </row>
        <row r="27">
          <cell r="D27" t="str">
            <v>1</v>
          </cell>
        </row>
        <row r="28">
          <cell r="D28" t="str">
            <v>2</v>
          </cell>
        </row>
        <row r="29">
          <cell r="D29" t="str">
            <v>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7">
          <cell r="E7" t="str">
            <v>N/A</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ｸﾞﾗﾌﾃﾞｰﾀ"/>
      <sheetName val="前提条件"/>
      <sheetName val="Book3"/>
      <sheetName val="Prissättningssheet"/>
      <sheetName val="Common (for reference only)"/>
    </sheetNames>
    <sheetDataSet>
      <sheetData sheetId="0" refreshError="1">
        <row r="43">
          <cell r="B43" t="str">
            <v>99C PCP</v>
          </cell>
        </row>
      </sheetData>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
      <sheetName val="A内容"/>
      <sheetName val="A3質DB"/>
      <sheetName val="A6表"/>
      <sheetName val="●起動●"/>
      <sheetName val="AB_E質設"/>
      <sheetName val="DB○"/>
      <sheetName val="表紙"/>
      <sheetName val="背景"/>
      <sheetName val="内容"/>
      <sheetName val="情ｼ概"/>
      <sheetName val="11"/>
      <sheetName val="12"/>
      <sheetName val="13"/>
      <sheetName val="14"/>
      <sheetName val="SD"/>
      <sheetName val="2-"/>
      <sheetName val="3-"/>
      <sheetName val="4-1"/>
      <sheetName val="4-標ｼ"/>
      <sheetName val="4-調表"/>
      <sheetName val="4-New"/>
      <sheetName val="5-"/>
      <sheetName val="策6～"/>
      <sheetName val="社給品"/>
      <sheetName val="今後"/>
      <sheetName val="可ﾌﾛｰ"/>
      <sheetName val="可ﾌﾛｰ2"/>
      <sheetName val="HS"/>
      <sheetName val="FLOW"/>
      <sheetName val="P2VEC"/>
      <sheetName val="VEC"/>
      <sheetName val="P12TQF"/>
      <sheetName val="P12Containers"/>
      <sheetName val="QRY_FLD"/>
      <sheetName val="問題点・課題"/>
      <sheetName val="策012"/>
      <sheetName val="空間"/>
      <sheetName val="SD合成"/>
      <sheetName val="Capella修正"/>
      <sheetName val="策34"/>
      <sheetName val="調表"/>
      <sheetName val="新ｼｰﾄ"/>
      <sheetName val="策5"/>
      <sheetName val="A01質内"/>
      <sheetName val="A3DB"/>
      <sheetName val="A45画"/>
      <sheetName val="A7計"/>
      <sheetName val="A8課"/>
      <sheetName val="A9A策"/>
      <sheetName val="ﾌﾛｰ1"/>
      <sheetName val="ﾌﾛｰ2"/>
      <sheetName val="部･ﾃｰﾏ"/>
      <sheetName val="実績CDF"/>
      <sheetName val="見積依頼"/>
      <sheetName val="検討内容"/>
      <sheetName val="9.2効果"/>
      <sheetName val="重量測定依頼&amp;結果"/>
      <sheetName val="実績データ表作成"/>
      <sheetName val="ζ静ばねｸﾞﾗﾌ 0N=原点(+側=-WL)"/>
      <sheetName val="Percentage Allocation"/>
      <sheetName val="ｸﾞﾗﾌﾃﾞｰﾀ"/>
      <sheetName val="CAD部(部品別）"/>
      <sheetName val="B設部(部品別）"/>
      <sheetName val="Sheet1"/>
      <sheetName val="入力-Ａ"/>
      <sheetName val="入力-Ｂ"/>
      <sheetName val="Containerized Parts Freight DB"/>
      <sheetName val="Pre-OG spec"/>
      <sheetName val="115円ﾍﾞｰｽ"/>
      <sheetName val="TKBN_TKBNA"/>
      <sheetName val="SPG_F"/>
      <sheetName val="SPG_R"/>
      <sheetName val="ﾊﾞﾈ下"/>
      <sheetName val="積載条件"/>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チーム案2英語"/>
      <sheetName val="J21KPL"/>
      <sheetName val="実績CDF分析(0)"/>
    </sheetNames>
    <sheetDataSet>
      <sheetData sheetId="0"/>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チーム案2英語"/>
      <sheetName val="`[Ä2pê"/>
      <sheetName val="????2??"/>
      <sheetName val="重量測定依頼&amp;結果"/>
      <sheetName val="`_Ä2pê"/>
      <sheetName val="ƒ`[ƒˆÄ2‰pŒê"/>
      <sheetName val="____2__"/>
      <sheetName val="車両質量一覧"/>
      <sheetName val="ｾﾝﾀ別工数集計結果"/>
      <sheetName val="ﾌｨﾛｿﾌｨ領域別工数集計結果"/>
      <sheetName val="部_Gr別工数実績集計結果"/>
      <sheetName val="部別工数集計結果"/>
      <sheetName val="ƒ`_ƒˆÄ2‰pŒê"/>
      <sheetName val="全体EC"/>
      <sheetName val="SUM14ZC1"/>
      <sheetName val="実測"/>
      <sheetName val="ｲﾝﾌﾟｯﾄｼｰﾄ"/>
      <sheetName val="原価表"/>
      <sheetName val="基礎ﾃﾞｰﾀ"/>
      <sheetName val="調整シート"/>
      <sheetName val="ﾀﾞｲﾊﾂ品番ﾘｽﾄ"/>
      <sheetName val="Sheet1"/>
      <sheetName val="ﾗﾍﾞﾙ"/>
      <sheetName val="切替情報"/>
      <sheetName val="データ"/>
      <sheetName val="入力情報"/>
      <sheetName val="①月例給与Table"/>
      <sheetName val="実績データ表作成"/>
      <sheetName val="出勤管理 (4)"/>
      <sheetName val="1-2速"/>
      <sheetName val="Sedan MID Elegant"/>
      <sheetName val="ｽﾎﾟｲﾗー1現状"/>
      <sheetName val="J21KPL"/>
      <sheetName val="ES4"/>
      <sheetName val="現　行"/>
      <sheetName val="防汚標準乾燥①"/>
      <sheetName val="使用方法"/>
      <sheetName val="AVRV_MSSM"/>
      <sheetName val="99.6"/>
      <sheetName val="１月度"/>
      <sheetName val="J29A980124"/>
      <sheetName val="Top22(GER)"/>
      <sheetName val="５・６月別発送件数"/>
      <sheetName val="旧価格(-199809)"/>
      <sheetName val="試験モード"/>
      <sheetName val="low series"/>
      <sheetName val="原価MST"/>
      <sheetName val="ƒ`[ƒ€ˆÄ2‰pŒê"/>
      <sheetName val="ƒ`_ƒ€ˆÄ2‰pŒê"/>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21KPL"/>
      <sheetName val="J21G"/>
      <sheetName val="Sheet1"/>
      <sheetName val="Sheet2"/>
      <sheetName val="Sheet3"/>
      <sheetName val="進捗"/>
      <sheetName val="集計"/>
      <sheetName val="サイン欄"/>
      <sheetName val="J64評価方法との相関"/>
      <sheetName val="担当"/>
      <sheetName val="重複"/>
      <sheetName val="集計用"/>
      <sheetName val="5326X"/>
      <sheetName val="5322X"/>
      <sheetName val="53220"/>
      <sheetName val="5323X"/>
      <sheetName val="長計対比"/>
      <sheetName val="#REF!"/>
      <sheetName val="社外運転"/>
      <sheetName val="チーム案2英語"/>
      <sheetName val="車両質量一覧"/>
      <sheetName val="日英対比表"/>
      <sheetName val="装備比較"/>
      <sheetName val="2.1.組み合わせ動作手順書"/>
      <sheetName val="検索条件メイク"/>
      <sheetName val="M&amp;PE Cost Study Detailed Backup"/>
      <sheetName val="重量測定依頼&amp;結果"/>
      <sheetName val="ｾﾝﾀ別工数集計結果"/>
      <sheetName val="ﾌｨﾛｿﾌｨ領域別工数集計結果"/>
      <sheetName val="部_Gr別工数実績集計結果"/>
      <sheetName val="部別工数集計結果"/>
      <sheetName val="SUM14ZC1"/>
      <sheetName val="データ"/>
      <sheetName val="全体EC"/>
      <sheetName val="情報"/>
      <sheetName val="3f Volume, Mix &amp; Option rate"/>
      <sheetName val="P.2 Price Strategy"/>
      <sheetName val="2f Pricing Strategy"/>
      <sheetName val="ES4"/>
      <sheetName val="LM 650b"/>
      <sheetName val="コスト管理"/>
      <sheetName val="P12TQF"/>
      <sheetName val="ζ静ばねｸﾞﾗﾌ 0N=原点(+側=-WL)"/>
      <sheetName val="ﾌﾞﾛｯｸ図活動"/>
      <sheetName val="ｼﾝｸﾞﾙ"/>
      <sheetName val="DETA1121ｋｋｋ"/>
      <sheetName val="(外売材)"/>
      <sheetName val="B2e SP for China J64 part"/>
      <sheetName val="MPL 技連"/>
      <sheetName val="342E BLOCK"/>
      <sheetName val=""/>
      <sheetName val="NAVI"/>
      <sheetName val="ｲﾝﾌﾟｯﾄｼｰﾄ"/>
      <sheetName val="ﾗﾍﾞﾙ"/>
      <sheetName val="Input"/>
      <sheetName val="ﾊﾟｲﾌﾟ"/>
      <sheetName val="冷延鋼板"/>
      <sheetName val="熱延鋼板"/>
      <sheetName val="他材料費"/>
      <sheetName val="ﾀﾞｲﾊﾂ品番ﾘｽﾄ"/>
      <sheetName val="DPA記録"/>
      <sheetName val="添付１"/>
      <sheetName val="PvsBe"/>
      <sheetName val="#626"/>
      <sheetName val="Containerized Parts Freight DB"/>
      <sheetName val="Kautex 4WD St.IV P&amp;D"/>
      <sheetName val="Sachs FL WHL"/>
      <sheetName val="出欠"/>
      <sheetName val="集計全体"/>
      <sheetName val="P.1"/>
      <sheetName val="AC×ｼｬﾌﾄ(AC2600i)"/>
      <sheetName val="3月"/>
      <sheetName val="List"/>
      <sheetName val="ﾁｮｺ停ｸﾞﾗﾌ"/>
      <sheetName val="シート一覧"/>
      <sheetName val="(7) ENG"/>
      <sheetName val="項目一覧"/>
      <sheetName val="理論射出容量"/>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
      <sheetName val="実車報告書"/>
      <sheetName val="実車委託書"/>
      <sheetName val="結果速報"/>
      <sheetName val="一般準備作業"/>
      <sheetName val="ﾌｨﾙﾑ解析（STG）"/>
      <sheetName val="ﾌｨﾙﾑ解析（ｻｲﾄﾞ）"/>
      <sheetName val="ﾌｨﾙﾑ解析（ｱﾝﾀﾞｰ）"/>
      <sheetName val="電計DVR"/>
      <sheetName val="電計PGR"/>
      <sheetName val="35mmｶﾒﾗ"/>
      <sheetName val="16mmｶﾒﾗ"/>
      <sheetName val="車計"/>
      <sheetName val="車計2"/>
      <sheetName val="車計3"/>
      <sheetName val="車計4"/>
      <sheetName val="車計5"/>
      <sheetName val="車計6"/>
      <sheetName val="車計7"/>
      <sheetName val="車計8"/>
      <sheetName val="車計9"/>
      <sheetName val="重量調整"/>
      <sheetName val="ﾀﾞﾐｰ1"/>
      <sheetName val="ﾀﾞﾐｰ2"/>
      <sheetName val="ﾀﾞﾐｰ3"/>
      <sheetName val="SA041"/>
      <sheetName val="SA042 "/>
      <sheetName val="SA043"/>
      <sheetName val="SA044"/>
      <sheetName val="SA045"/>
      <sheetName val="SA046"/>
      <sheetName val="SA047"/>
      <sheetName val="SA048"/>
      <sheetName val="SA049"/>
      <sheetName val="SA050"/>
      <sheetName val="SA051"/>
      <sheetName val="SA052"/>
      <sheetName val="ﾀﾞﾐｰ箇所ﾁｪｯｸ"/>
      <sheetName val="静的ﾛｰﾙｵｰﾊﾞｰ"/>
      <sheetName val="J21KPL"/>
      <sheetName val="チーム案2英語"/>
      <sheetName val="未決項目"/>
      <sheetName val="INPUT_130603"/>
      <sheetName val="内装系改造"/>
      <sheetName val="参考【試験標準表】"/>
      <sheetName val="改暦"/>
      <sheetName val="P.8の入力シート"/>
      <sheetName val="ここから本編⇒"/>
      <sheetName val="P.1実車ﾃｽﾄ明細書"/>
      <sheetName val="P.2改暦一覧_A04"/>
      <sheetName val="P.3重量調整"/>
      <sheetName val="P.4ハニカムバリア準備、車両姿勢"/>
      <sheetName val="P.5_3DM・内装部品のセット"/>
      <sheetName val="_P.6-7_ダミー・ベルトセット依頼書(正突用)"/>
      <sheetName val="P.8部品、TTF、追加"/>
      <sheetName val="電計車体（2-29①）"/>
      <sheetName val="ダミーセット時の既知点"/>
      <sheetName val="トルクチェック"/>
      <sheetName val="トルクチェック (2)"/>
      <sheetName val="ワッシャー組替え"/>
      <sheetName val="フロア穴埋め"/>
      <sheetName val="TibiaPAD作製"/>
      <sheetName val="シート組替え"/>
      <sheetName val="PABリッドカット"/>
      <sheetName val="HVAC取り付けカット"/>
      <sheetName val="ペリツノ改造"/>
      <sheetName val="ペリメーター改造"/>
      <sheetName val="改造依頼書"/>
      <sheetName val=" 改造依頼書1"/>
      <sheetName val=" 改造依頼書2"/>
      <sheetName val=" 改造依頼書3"/>
      <sheetName val=" 改造依頼書4"/>
      <sheetName val=" 改造依頼書5-1"/>
      <sheetName val=" 改造依頼書5"/>
      <sheetName val=" 改造依頼書6"/>
      <sheetName val=" 改造依頼書7"/>
      <sheetName val=" 改造依頼書8"/>
      <sheetName val=" 改造依頼書9"/>
      <sheetName val=" 改造依頼書9 (2)"/>
      <sheetName val=" 改造依頼書9 (3)"/>
      <sheetName val=" 改造依頼書9 (4)"/>
      <sheetName val=" 改造依頼書10"/>
      <sheetName val=" 改造依頼書10 (2)"/>
      <sheetName val=" 改造依頼書10 (3)"/>
      <sheetName val=" 改造依頼書10 (4)"/>
      <sheetName val=" 改造依頼書10 (5)"/>
      <sheetName val=" 改造依頼書10 (6)"/>
      <sheetName val="インパネ組み換え"/>
      <sheetName val="film解析追加"/>
      <sheetName val="G計位置"/>
      <sheetName val="ﾊﾞﾝﾊﾟｰ性能委託書"/>
      <sheetName val="全体EC"/>
      <sheetName val="電計ﾀﾞﾐｰ（2-28①）"/>
      <sheetName val="シート"/>
      <sheetName val="顔料追加"/>
      <sheetName val="サイドシル"/>
      <sheetName val="SA042_"/>
      <sheetName val="P_8の入力シート"/>
      <sheetName val="P_1実車ﾃｽﾄ明細書"/>
      <sheetName val="P_2改暦一覧_A04"/>
      <sheetName val="P_3重量調整"/>
      <sheetName val="P_4ハニカムバリア準備、車両姿勢"/>
      <sheetName val="P_5_3DM・内装部品のセット"/>
      <sheetName val="_P_6-7_ダミー・ベルトセット依頼書(正突用)"/>
      <sheetName val="P_8部品、TTF、追加"/>
      <sheetName val="トルクチェック_(2)"/>
      <sheetName val="_改造依頼書1"/>
      <sheetName val="_改造依頼書2"/>
      <sheetName val="_改造依頼書3"/>
      <sheetName val="_改造依頼書4"/>
      <sheetName val="_改造依頼書5-1"/>
      <sheetName val="_改造依頼書5"/>
      <sheetName val="_改造依頼書6"/>
      <sheetName val="_改造依頼書7"/>
      <sheetName val="_改造依頼書8"/>
      <sheetName val="_改造依頼書9"/>
      <sheetName val="_改造依頼書9_(2)"/>
      <sheetName val="_改造依頼書9_(3)"/>
      <sheetName val="_改造依頼書9_(4)"/>
      <sheetName val="_改造依頼書10"/>
      <sheetName val="_改造依頼書10_(2)"/>
      <sheetName val="_改造依頼書10_(3)"/>
      <sheetName val="_改造依頼書10_(4)"/>
      <sheetName val="_改造依頼書10_(5)"/>
      <sheetName val="_改造依頼書10_(6)"/>
      <sheetName val="SA042_1"/>
      <sheetName val="P_8の入力シート1"/>
      <sheetName val="P_1実車ﾃｽﾄ明細書1"/>
      <sheetName val="P_2改暦一覧_A041"/>
      <sheetName val="P_3重量調整1"/>
      <sheetName val="P_4ハニカムバリア準備、車両姿勢1"/>
      <sheetName val="P_5_3DM・内装部品のセット1"/>
      <sheetName val="_P_6-7_ダミー・ベルトセット依頼書(正突用)1"/>
      <sheetName val="P_8部品、TTF、追加1"/>
      <sheetName val="トルクチェック_(2)1"/>
      <sheetName val="_改造依頼書11"/>
      <sheetName val="_改造依頼書21"/>
      <sheetName val="_改造依頼書31"/>
      <sheetName val="_改造依頼書41"/>
      <sheetName val="_改造依頼書5-11"/>
      <sheetName val="_改造依頼書51"/>
      <sheetName val="_改造依頼書61"/>
      <sheetName val="_改造依頼書71"/>
      <sheetName val="_改造依頼書81"/>
      <sheetName val="_改造依頼書91"/>
      <sheetName val="_改造依頼書9_(2)1"/>
      <sheetName val="_改造依頼書9_(3)1"/>
      <sheetName val="_改造依頼書9_(4)1"/>
      <sheetName val="_改造依頼書101"/>
      <sheetName val="_改造依頼書10_(2)1"/>
      <sheetName val="_改造依頼書10_(3)1"/>
      <sheetName val="_改造依頼書10_(4)1"/>
      <sheetName val="_改造依頼書10_(5)1"/>
      <sheetName val="_改造依頼書10_(6)1"/>
    </sheetNames>
    <sheetDataSet>
      <sheetData sheetId="0" refreshError="1"/>
      <sheetData sheetId="1" refreshError="1"/>
      <sheetData sheetId="2" refreshError="1">
        <row r="13">
          <cell r="C13">
            <v>20018006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実車委託書"/>
      <sheetName val="一般準備作業依頼書"/>
      <sheetName val="電計DVR"/>
      <sheetName val="電計PGR"/>
      <sheetName val="空正"/>
      <sheetName val="現像依頼書(側突以外)"/>
      <sheetName val="改造作業依頼書 (7)"/>
      <sheetName val="改造作業依頼書 (4)"/>
      <sheetName val="改造作業依頼書 (6)"/>
      <sheetName val="Sheet1"/>
      <sheetName val="白紙"/>
      <sheetName val="S1 ﾀﾞﾐｰ抵抗"/>
      <sheetName val="S5 ｾﾝｻ組替え"/>
      <sheetName val="S6 ｾﾝｻ結線"/>
      <sheetName val="S8 出力ﾁｪｯｸ1"/>
      <sheetName val="S10 外G計CZS_C"/>
      <sheetName val="S12 外G計SAS"/>
      <sheetName val="S13 外G計SIS "/>
      <sheetName val="S36 ｾﾝｻｰ返送"/>
      <sheetName val="ボンネット台車テスト"/>
      <sheetName val="ﾊﾟｲﾌﾟ"/>
      <sheetName val="他材料費"/>
      <sheetName val="熱延鋼板"/>
      <sheetName val="冷延鋼板"/>
      <sheetName val="チーム案2英語"/>
      <sheetName val="ﾉｰﾏﾙ（グラフ）"/>
      <sheetName val="改造作業依頼書_(7)"/>
      <sheetName val="改造作業依頼書_(4)"/>
      <sheetName val="改造作業依頼書_(6)"/>
      <sheetName val="S1_ﾀﾞﾐｰ抵抗"/>
      <sheetName val="S5_ｾﾝｻ組替え"/>
      <sheetName val="S6_ｾﾝｻ結線"/>
      <sheetName val="S8_出力ﾁｪｯｸ1"/>
      <sheetName val="S10_外G計CZS_C"/>
      <sheetName val="S12_外G計SAS"/>
      <sheetName val="S13_外G計SIS_"/>
      <sheetName val="S36_ｾﾝｻｰ返送"/>
      <sheetName val="改造作業依頼書_(7)1"/>
      <sheetName val="改造作業依頼書_(4)1"/>
      <sheetName val="改造作業依頼書_(6)1"/>
      <sheetName val="S1_ﾀﾞﾐｰ抵抗1"/>
      <sheetName val="S5_ｾﾝｻ組替え1"/>
      <sheetName val="S6_ｾﾝｻ結線1"/>
      <sheetName val="S8_出力ﾁｪｯｸ11"/>
      <sheetName val="S10_外G計CZS_C1"/>
      <sheetName val="S12_外G計SAS1"/>
      <sheetName val="S13_外G計SIS_1"/>
      <sheetName val="S36_ｾﾝｻｰ返送1"/>
    </sheetNames>
    <sheetDataSet>
      <sheetData sheetId="0" refreshError="1">
        <row r="14">
          <cell r="C14" t="str">
            <v>J48C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
      <sheetName val="ﾊﾞﾝﾊﾟｰ性能委託書"/>
      <sheetName val="ﾊﾞﾝﾊﾟｰ性能写真撮影依頼 (2)"/>
      <sheetName val="現像依頼書(側突以外)"/>
      <sheetName val="ﾊﾞﾝﾊﾟｰﾚｲﾝ (１)"/>
      <sheetName val="ﾊﾞﾝﾊﾟｰﾚｲﾝ（２）"/>
      <sheetName val="ﾊﾞﾝﾊﾟｰﾚｲﾝ（３)"/>
      <sheetName val="ワッペン張り付け"/>
      <sheetName val="ｻｲﾄﾞｼﾙＧ計＆牽引フック"/>
      <sheetName val="ＦﾌﾚｰﾑＧ計"/>
      <sheetName val="ＥＡ材"/>
      <sheetName val="Ｆﾌﾚｰﾑ先端計測"/>
      <sheetName val="コーテングプレート"/>
      <sheetName val="○ﾊﾞﾝﾊﾟｰﾚｲﾝ"/>
      <sheetName val="○ﾌﾚｰﾑ"/>
      <sheetName val="○ﾍﾟﾘﾒｰﾀｰﾌﾚｰﾑ"/>
      <sheetName val="○Engﾙｰﾑ1"/>
      <sheetName val="○ﾊﾞﾝﾊﾟｰﾚｲﾝ (2)"/>
      <sheetName val="○ﾌﾚｰﾑ (2)"/>
      <sheetName val="○ﾍﾟﾘﾒｰﾀｰﾌﾚｰﾑ (2)"/>
      <sheetName val="○Engﾙｰﾑ1 (2)"/>
      <sheetName val="Sheet1"/>
      <sheetName val="電気計測Ⅱﾀﾞﾐｰ(省略）"/>
      <sheetName val="入力規則リスト他"/>
    </sheetNames>
    <sheetDataSet>
      <sheetData sheetId="0" refreshError="1"/>
      <sheetData sheetId="1" refreshError="1">
        <row r="11">
          <cell r="O11" t="str">
            <v>古谷</v>
          </cell>
        </row>
        <row r="15">
          <cell r="D15">
            <v>20022069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sunshine2k.de/articles/coding/crc/understanding_crc.html" TargetMode="External"/><Relationship Id="rId7" Type="http://schemas.openxmlformats.org/officeDocument/2006/relationships/drawing" Target="../drawings/drawing1.xml"/><Relationship Id="rId2" Type="http://schemas.openxmlformats.org/officeDocument/2006/relationships/hyperlink" Target="https://ja.wikipedia.org/wiki/%E5%B7%A1%E5%9B%9E%E5%86%97%E9%95%B7%E6%A4%9C%E6%9F%BB" TargetMode="External"/><Relationship Id="rId1" Type="http://schemas.openxmlformats.org/officeDocument/2006/relationships/hyperlink" Target="http://www.sunshine2k.de/coding/javascript/crc/crc_js.html" TargetMode="External"/><Relationship Id="rId6" Type="http://schemas.openxmlformats.org/officeDocument/2006/relationships/printerSettings" Target="../printerSettings/printerSettings2.bin"/><Relationship Id="rId5" Type="http://schemas.openxmlformats.org/officeDocument/2006/relationships/hyperlink" Target="https://www.seplus.jp/dokushuzemi/ec/fe/fenavi/mastering_tech/crc/" TargetMode="External"/><Relationship Id="rId4" Type="http://schemas.openxmlformats.org/officeDocument/2006/relationships/hyperlink" Target="http://www.sunshine2k.de/coding/javascript/crc/crc_js.html" TargetMode="External"/></Relationships>
</file>

<file path=xl/worksheets/_rels/sheet3.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3.bin"/><Relationship Id="rId1" Type="http://schemas.openxmlformats.org/officeDocument/2006/relationships/hyperlink" Target="http://www.sunshine2k.de/coding/javascript/crc/crc_js.html"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drawing" Target="../drawings/drawing3.xml"/><Relationship Id="rId7" Type="http://schemas.openxmlformats.org/officeDocument/2006/relationships/oleObject" Target="../embeddings/oleObject4.bin"/><Relationship Id="rId2" Type="http://schemas.openxmlformats.org/officeDocument/2006/relationships/printerSettings" Target="../printerSettings/printerSettings4.bin"/><Relationship Id="rId1" Type="http://schemas.openxmlformats.org/officeDocument/2006/relationships/hyperlink" Target="http://www.sunshine2k.de/coding/javascript/crc/crc_js.html" TargetMode="External"/><Relationship Id="rId6" Type="http://schemas.openxmlformats.org/officeDocument/2006/relationships/image" Target="../media/image7.emf"/><Relationship Id="rId5" Type="http://schemas.openxmlformats.org/officeDocument/2006/relationships/oleObject" Target="../embeddings/oleObject3.bin"/><Relationship Id="rId10" Type="http://schemas.openxmlformats.org/officeDocument/2006/relationships/image" Target="../media/image9.emf"/><Relationship Id="rId4" Type="http://schemas.openxmlformats.org/officeDocument/2006/relationships/vmlDrawing" Target="../drawings/vmlDrawing2.vml"/><Relationship Id="rId9" Type="http://schemas.openxmlformats.org/officeDocument/2006/relationships/oleObject" Target="../embeddings/oleObject5.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sunshine2k.de/coding/javascript/crc/crc_js.html" TargetMode="External"/><Relationship Id="rId7" Type="http://schemas.openxmlformats.org/officeDocument/2006/relationships/printerSettings" Target="../printerSettings/printerSettings5.bin"/><Relationship Id="rId2" Type="http://schemas.openxmlformats.org/officeDocument/2006/relationships/hyperlink" Target="https://docs.spyder-ide.org/current/index.html" TargetMode="External"/><Relationship Id="rId1" Type="http://schemas.openxmlformats.org/officeDocument/2006/relationships/hyperlink" Target="https://github.com/christoph2/pyxcp/tree/master/pyxcp" TargetMode="External"/><Relationship Id="rId6" Type="http://schemas.openxmlformats.org/officeDocument/2006/relationships/hyperlink" Target="https://pypi.org/project/customtkinter/" TargetMode="External"/><Relationship Id="rId5" Type="http://schemas.openxmlformats.org/officeDocument/2006/relationships/hyperlink" Target="https://pypi.org/project/pyxcp/" TargetMode="External"/><Relationship Id="rId4" Type="http://schemas.openxmlformats.org/officeDocument/2006/relationships/hyperlink" Target="https://pypi.org/"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openxmlformats.org/officeDocument/2006/relationships/image" Target="../media/image30.emf"/><Relationship Id="rId4"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40F70-C7A9-44F9-BECE-9DED3E592EB8}">
  <dimension ref="A1:E11"/>
  <sheetViews>
    <sheetView showGridLines="0" tabSelected="1" zoomScale="115" zoomScaleNormal="115" workbookViewId="0"/>
  </sheetViews>
  <sheetFormatPr defaultRowHeight="13.8"/>
  <sheetData>
    <row r="1" spans="1:5" ht="20.399999999999999">
      <c r="A1" s="61" t="s">
        <v>71</v>
      </c>
    </row>
    <row r="4" spans="1:5">
      <c r="A4" t="s">
        <v>29</v>
      </c>
    </row>
    <row r="5" spans="1:5">
      <c r="B5" s="161" t="s">
        <v>74</v>
      </c>
      <c r="C5" s="162"/>
      <c r="D5" s="162"/>
      <c r="E5" s="163"/>
    </row>
    <row r="7" spans="1:5">
      <c r="B7" s="158" t="s">
        <v>76</v>
      </c>
      <c r="C7" s="159"/>
      <c r="D7" s="159"/>
      <c r="E7" s="160"/>
    </row>
    <row r="9" spans="1:5">
      <c r="B9" s="158" t="s">
        <v>77</v>
      </c>
      <c r="C9" s="159"/>
      <c r="D9" s="159"/>
      <c r="E9" s="160"/>
    </row>
    <row r="11" spans="1:5">
      <c r="B11" s="158" t="s">
        <v>78</v>
      </c>
      <c r="C11" s="159"/>
      <c r="D11" s="159"/>
      <c r="E11" s="160"/>
    </row>
  </sheetData>
  <mergeCells count="4">
    <mergeCell ref="B9:E9"/>
    <mergeCell ref="B7:E7"/>
    <mergeCell ref="B5:E5"/>
    <mergeCell ref="B11:E11"/>
  </mergeCells>
  <phoneticPr fontId="2"/>
  <hyperlinks>
    <hyperlink ref="B7" location="'CRC16'!A1" display="'CRC16'!A1" xr:uid="{373829D9-D323-4FEA-BF9F-2C5517F5CA5F}"/>
    <hyperlink ref="B9" location="'CRC8'!A1" display="'CRC8'!A1" xr:uid="{0DDCEAB6-2A2A-467A-AE14-11AFB0CC4893}"/>
    <hyperlink ref="B5" location="Outline!A1" display="Outline!A1" xr:uid="{379D2960-EB9A-41AF-A825-83AEAE71786C}"/>
    <hyperlink ref="B7:E7" location="'C#_CRC16'!A1" display="Link to Sheet'C#_CRC16'" xr:uid="{37AAE6BC-3AC7-42BF-8186-CEF3C541A7D7}"/>
    <hyperlink ref="B9:E9" location="'C#_CRC8'!A1" display="Link to Sheet 'C#_CRC8'!" xr:uid="{846F51D8-F8E5-4583-B9E6-832B6B56E85B}"/>
    <hyperlink ref="B11" location="'CRC8'!A1" display="'CRC8'!A1" xr:uid="{562BE2F5-D45E-450A-BE8D-9B7FE24018BE}"/>
    <hyperlink ref="B11:E11" location="Python_CRC!A1" display="Link to Sheet 'Python CRC in library'" xr:uid="{BDDF38BC-59E7-4099-AF6E-65778DC9DD86}"/>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50835-F10B-416A-B126-5856C9377A65}">
  <dimension ref="A1:S90"/>
  <sheetViews>
    <sheetView showGridLines="0" zoomScaleNormal="100" zoomScaleSheetLayoutView="25" workbookViewId="0"/>
  </sheetViews>
  <sheetFormatPr defaultRowHeight="13.8"/>
  <cols>
    <col min="1" max="1" width="5.69921875" customWidth="1"/>
  </cols>
  <sheetData>
    <row r="1" spans="1:18" ht="20.399999999999999">
      <c r="A1" s="5" t="s">
        <v>75</v>
      </c>
    </row>
    <row r="2" spans="1:18" ht="18">
      <c r="A2" s="25"/>
    </row>
    <row r="3" spans="1:18" ht="18">
      <c r="A3" s="48" t="s">
        <v>73</v>
      </c>
      <c r="B3" s="26"/>
      <c r="C3" s="26"/>
      <c r="D3" s="26"/>
      <c r="E3" s="26"/>
      <c r="F3" s="26"/>
      <c r="G3" s="26"/>
      <c r="H3" s="26"/>
      <c r="I3" s="26"/>
      <c r="J3" s="26"/>
      <c r="K3" s="26"/>
      <c r="L3" s="26"/>
      <c r="M3" s="26"/>
      <c r="N3" s="26"/>
      <c r="O3" s="26"/>
      <c r="P3" s="26"/>
      <c r="Q3" s="26"/>
      <c r="R3" s="26"/>
    </row>
    <row r="4" spans="1:18" ht="18">
      <c r="A4" s="26"/>
      <c r="B4" s="26" t="s">
        <v>30</v>
      </c>
      <c r="C4" s="26"/>
      <c r="D4" s="26"/>
      <c r="E4" s="29" t="s">
        <v>31</v>
      </c>
      <c r="F4" s="26"/>
      <c r="G4" s="26"/>
      <c r="H4" s="26"/>
      <c r="I4" s="26"/>
      <c r="J4" s="26"/>
      <c r="K4" s="26"/>
      <c r="L4" s="26"/>
      <c r="M4" s="26"/>
      <c r="N4" s="26"/>
      <c r="O4" s="26"/>
      <c r="P4" s="26"/>
      <c r="Q4" s="26"/>
      <c r="R4" s="26"/>
    </row>
    <row r="5" spans="1:18" ht="18">
      <c r="A5" s="26"/>
      <c r="B5" s="27"/>
      <c r="C5" s="26"/>
      <c r="D5" s="26"/>
      <c r="E5" s="26"/>
      <c r="F5" s="26"/>
      <c r="G5" s="26"/>
      <c r="H5" s="26"/>
      <c r="I5" s="26"/>
      <c r="J5" s="26"/>
      <c r="K5" s="26"/>
      <c r="L5" s="26"/>
      <c r="M5" s="26"/>
      <c r="N5" s="26"/>
      <c r="O5" s="26"/>
      <c r="P5" s="26"/>
      <c r="Q5" s="26"/>
      <c r="R5" s="26"/>
    </row>
    <row r="6" spans="1:18" ht="18">
      <c r="A6" s="26"/>
      <c r="C6" s="28" t="s">
        <v>32</v>
      </c>
      <c r="D6" s="26"/>
      <c r="E6" s="26"/>
      <c r="F6" s="26"/>
      <c r="G6" s="26"/>
      <c r="H6" s="26"/>
      <c r="I6" s="26"/>
      <c r="J6" s="26"/>
      <c r="K6" s="26"/>
      <c r="L6" s="26"/>
      <c r="M6" s="26"/>
      <c r="N6" s="26"/>
      <c r="O6" s="26"/>
      <c r="P6" s="26"/>
      <c r="Q6" s="26"/>
      <c r="R6" s="26"/>
    </row>
    <row r="7" spans="1:18" ht="18">
      <c r="A7" s="26"/>
      <c r="D7" s="28" t="s">
        <v>33</v>
      </c>
      <c r="E7" s="26"/>
      <c r="F7" s="26"/>
      <c r="G7" s="26"/>
      <c r="H7" s="26"/>
      <c r="I7" s="26"/>
      <c r="J7" s="26"/>
      <c r="K7" s="26"/>
      <c r="L7" s="26"/>
      <c r="M7" s="26"/>
      <c r="N7" s="26"/>
      <c r="O7" s="26"/>
      <c r="P7" s="26"/>
      <c r="Q7" s="26"/>
      <c r="R7" s="26"/>
    </row>
    <row r="8" spans="1:18" ht="18">
      <c r="A8" s="26"/>
      <c r="B8" s="28"/>
      <c r="D8" s="29" t="s">
        <v>34</v>
      </c>
      <c r="E8" s="26"/>
      <c r="F8" s="26"/>
      <c r="G8" s="26"/>
      <c r="H8" s="26"/>
      <c r="I8" s="26"/>
      <c r="J8" s="26"/>
      <c r="K8" s="26"/>
      <c r="L8" s="26"/>
      <c r="M8" s="26"/>
      <c r="N8" s="26"/>
      <c r="O8" s="26"/>
      <c r="P8" s="26"/>
      <c r="Q8" s="26"/>
      <c r="R8" s="26"/>
    </row>
    <row r="9" spans="1:18" ht="18">
      <c r="A9" s="26"/>
      <c r="B9" s="28"/>
      <c r="C9" s="26"/>
      <c r="D9" s="26"/>
      <c r="E9" s="26"/>
      <c r="F9" s="26"/>
      <c r="G9" s="26"/>
      <c r="H9" s="26"/>
      <c r="I9" s="26"/>
      <c r="J9" s="26"/>
      <c r="K9" s="26"/>
      <c r="L9" s="26"/>
      <c r="M9" s="26"/>
      <c r="N9" s="26"/>
      <c r="O9" s="26"/>
      <c r="P9" s="26"/>
      <c r="Q9" s="26"/>
      <c r="R9" s="26"/>
    </row>
    <row r="10" spans="1:18" ht="18">
      <c r="A10" s="48" t="s">
        <v>72</v>
      </c>
      <c r="C10" s="26"/>
      <c r="D10" s="26"/>
      <c r="E10" s="26"/>
      <c r="F10" s="26"/>
      <c r="G10" s="26"/>
      <c r="H10" s="26"/>
      <c r="I10" s="26"/>
      <c r="J10" s="26"/>
      <c r="K10" s="26"/>
      <c r="L10" s="26"/>
      <c r="M10" s="26"/>
      <c r="N10" s="26"/>
      <c r="O10" s="26"/>
      <c r="P10" s="26"/>
      <c r="Q10" s="26"/>
      <c r="R10" s="26"/>
    </row>
    <row r="11" spans="1:18" ht="18">
      <c r="A11" s="26"/>
      <c r="B11" s="26" t="s">
        <v>35</v>
      </c>
      <c r="C11" s="26"/>
      <c r="D11" s="26"/>
      <c r="E11" s="26"/>
      <c r="F11" s="26"/>
      <c r="G11" s="26"/>
      <c r="H11" s="26"/>
      <c r="I11" s="26"/>
      <c r="J11" s="26"/>
      <c r="K11" s="26"/>
      <c r="L11" s="26"/>
      <c r="M11" s="26"/>
      <c r="N11" s="26"/>
      <c r="O11" s="26"/>
      <c r="P11" s="26"/>
      <c r="Q11" s="26"/>
      <c r="R11" s="26"/>
    </row>
    <row r="12" spans="1:18" ht="18">
      <c r="A12" s="26"/>
      <c r="B12" s="27"/>
      <c r="C12" s="26"/>
      <c r="D12" s="26"/>
      <c r="E12" s="26"/>
      <c r="F12" s="26"/>
      <c r="G12" s="26"/>
      <c r="H12" s="26"/>
      <c r="I12" s="26"/>
      <c r="J12" s="26"/>
      <c r="K12" s="26"/>
      <c r="L12" s="26"/>
      <c r="M12" s="26"/>
      <c r="N12" s="26"/>
      <c r="O12" s="26"/>
      <c r="P12" s="26"/>
      <c r="Q12" s="26"/>
      <c r="R12" s="26"/>
    </row>
    <row r="13" spans="1:18" ht="18">
      <c r="A13" s="26"/>
      <c r="B13" s="30" t="s">
        <v>36</v>
      </c>
      <c r="C13" s="31"/>
      <c r="D13" s="31"/>
      <c r="E13" s="31"/>
      <c r="F13" s="31"/>
      <c r="G13" s="31"/>
      <c r="H13" s="31"/>
      <c r="I13" s="31"/>
      <c r="J13" s="31"/>
      <c r="K13" s="31"/>
      <c r="L13" s="31"/>
      <c r="M13" s="31"/>
      <c r="N13" s="31"/>
      <c r="O13" s="31"/>
      <c r="P13" s="31"/>
      <c r="Q13" s="31"/>
      <c r="R13" s="32"/>
    </row>
    <row r="14" spans="1:18" ht="18">
      <c r="A14" s="26"/>
      <c r="B14" s="33"/>
      <c r="C14" s="138" t="s">
        <v>37</v>
      </c>
      <c r="D14" s="139" t="s">
        <v>38</v>
      </c>
      <c r="E14" s="64"/>
      <c r="F14" s="64"/>
      <c r="G14" s="64"/>
      <c r="H14" s="64"/>
      <c r="I14" s="64"/>
      <c r="J14" s="64"/>
      <c r="K14" s="64"/>
      <c r="L14" s="64"/>
      <c r="M14" s="64"/>
      <c r="N14" s="64"/>
      <c r="O14" s="64"/>
      <c r="P14" s="64"/>
      <c r="Q14" s="64"/>
      <c r="R14" s="34"/>
    </row>
    <row r="15" spans="1:18" ht="18">
      <c r="A15" s="26"/>
      <c r="B15" s="33"/>
      <c r="C15" s="64" t="s">
        <v>39</v>
      </c>
      <c r="D15" s="64"/>
      <c r="E15" s="64"/>
      <c r="F15" s="64"/>
      <c r="G15" s="64"/>
      <c r="H15" s="64"/>
      <c r="I15" s="64"/>
      <c r="J15" s="64"/>
      <c r="K15" s="64"/>
      <c r="L15" s="64"/>
      <c r="M15" s="64"/>
      <c r="N15" s="64"/>
      <c r="O15" s="64"/>
      <c r="P15" s="64"/>
      <c r="Q15" s="64"/>
      <c r="R15" s="34"/>
    </row>
    <row r="16" spans="1:18" ht="18">
      <c r="A16" s="26"/>
      <c r="B16" s="33"/>
      <c r="C16" s="64" t="s">
        <v>40</v>
      </c>
      <c r="D16" s="64"/>
      <c r="E16" s="64"/>
      <c r="F16" s="64"/>
      <c r="G16" s="64"/>
      <c r="H16" s="64"/>
      <c r="I16" s="64"/>
      <c r="J16" s="64"/>
      <c r="K16" s="64"/>
      <c r="L16" s="64"/>
      <c r="M16" s="64"/>
      <c r="N16" s="64"/>
      <c r="O16" s="64"/>
      <c r="P16" s="64"/>
      <c r="Q16" s="64"/>
      <c r="R16" s="34"/>
    </row>
    <row r="17" spans="1:18" ht="18">
      <c r="A17" s="26"/>
      <c r="B17" s="33"/>
      <c r="C17" s="64"/>
      <c r="D17" s="64"/>
      <c r="E17" s="64"/>
      <c r="F17" s="64"/>
      <c r="G17" s="64"/>
      <c r="H17" s="64"/>
      <c r="I17" s="64"/>
      <c r="J17" s="64"/>
      <c r="K17" s="64"/>
      <c r="L17" s="64"/>
      <c r="M17" s="64"/>
      <c r="N17" s="64"/>
      <c r="O17" s="64"/>
      <c r="P17" s="64"/>
      <c r="Q17" s="64"/>
      <c r="R17" s="34"/>
    </row>
    <row r="18" spans="1:18" ht="18">
      <c r="A18" s="26"/>
      <c r="B18" s="33"/>
      <c r="C18" s="138" t="s">
        <v>41</v>
      </c>
      <c r="D18" s="64"/>
      <c r="E18" s="64"/>
      <c r="F18" s="64"/>
      <c r="G18" s="64"/>
      <c r="H18" s="64"/>
      <c r="I18" s="64"/>
      <c r="J18" s="64"/>
      <c r="K18" s="64"/>
      <c r="L18" s="64"/>
      <c r="M18" s="64"/>
      <c r="N18" s="64"/>
      <c r="O18" s="64"/>
      <c r="P18" s="64"/>
      <c r="Q18" s="64"/>
      <c r="R18" s="34"/>
    </row>
    <row r="19" spans="1:18" ht="18">
      <c r="A19" s="26"/>
      <c r="B19" s="33"/>
      <c r="C19" s="64" t="s">
        <v>42</v>
      </c>
      <c r="D19" s="64"/>
      <c r="E19" s="64"/>
      <c r="F19" s="64"/>
      <c r="G19" s="64"/>
      <c r="H19" s="64"/>
      <c r="I19" s="64"/>
      <c r="J19" s="64"/>
      <c r="K19" s="64"/>
      <c r="L19" s="64"/>
      <c r="M19" s="64"/>
      <c r="N19" s="64"/>
      <c r="O19" s="64"/>
      <c r="P19" s="64"/>
      <c r="Q19" s="64"/>
      <c r="R19" s="34"/>
    </row>
    <row r="20" spans="1:18" ht="18">
      <c r="A20" s="26"/>
      <c r="B20" s="33"/>
      <c r="C20" s="64"/>
      <c r="D20" s="64"/>
      <c r="E20" s="64"/>
      <c r="F20" s="64"/>
      <c r="G20" s="64"/>
      <c r="H20" s="64"/>
      <c r="I20" s="64"/>
      <c r="J20" s="64"/>
      <c r="K20" s="64"/>
      <c r="L20" s="64"/>
      <c r="M20" s="64"/>
      <c r="N20" s="64"/>
      <c r="O20" s="64"/>
      <c r="P20" s="64"/>
      <c r="Q20" s="64"/>
      <c r="R20" s="34"/>
    </row>
    <row r="21" spans="1:18" ht="18">
      <c r="A21" s="26"/>
      <c r="B21" s="33"/>
      <c r="C21" s="138" t="s">
        <v>43</v>
      </c>
      <c r="D21" s="64"/>
      <c r="E21" s="64"/>
      <c r="F21" s="64"/>
      <c r="G21" s="64"/>
      <c r="H21" s="64"/>
      <c r="I21" s="64"/>
      <c r="J21" s="64"/>
      <c r="K21" s="64"/>
      <c r="L21" s="64"/>
      <c r="M21" s="64"/>
      <c r="N21" s="64"/>
      <c r="O21" s="64"/>
      <c r="P21" s="64"/>
      <c r="Q21" s="64"/>
      <c r="R21" s="34"/>
    </row>
    <row r="22" spans="1:18" ht="18">
      <c r="A22" s="26"/>
      <c r="B22" s="33"/>
      <c r="C22" s="64" t="s">
        <v>44</v>
      </c>
      <c r="D22" s="64"/>
      <c r="E22" s="64"/>
      <c r="F22" s="64"/>
      <c r="G22" s="64"/>
      <c r="H22" s="64"/>
      <c r="I22" s="64"/>
      <c r="J22" s="64"/>
      <c r="K22" s="64"/>
      <c r="L22" s="64"/>
      <c r="M22" s="64"/>
      <c r="N22" s="64"/>
      <c r="O22" s="64"/>
      <c r="P22" s="64"/>
      <c r="Q22" s="64"/>
      <c r="R22" s="34"/>
    </row>
    <row r="23" spans="1:18" ht="18">
      <c r="A23" s="26"/>
      <c r="B23" s="33"/>
      <c r="C23" s="64"/>
      <c r="D23" s="140" t="s">
        <v>45</v>
      </c>
      <c r="E23" s="64"/>
      <c r="F23" s="64"/>
      <c r="G23" s="64"/>
      <c r="H23" s="64"/>
      <c r="I23" s="64"/>
      <c r="J23" s="64"/>
      <c r="K23" s="64"/>
      <c r="L23" s="64"/>
      <c r="M23" s="64"/>
      <c r="N23" s="64"/>
      <c r="O23" s="64"/>
      <c r="P23" s="64"/>
      <c r="Q23" s="64"/>
      <c r="R23" s="34"/>
    </row>
    <row r="24" spans="1:18" ht="18">
      <c r="A24" s="26"/>
      <c r="B24" s="33"/>
      <c r="C24" s="64"/>
      <c r="D24" s="140" t="s">
        <v>46</v>
      </c>
      <c r="E24" s="64"/>
      <c r="F24" s="64"/>
      <c r="G24" s="64"/>
      <c r="H24" s="64"/>
      <c r="I24" s="64"/>
      <c r="J24" s="64"/>
      <c r="K24" s="64"/>
      <c r="L24" s="64"/>
      <c r="M24" s="64"/>
      <c r="N24" s="64"/>
      <c r="O24" s="64"/>
      <c r="P24" s="64"/>
      <c r="Q24" s="64"/>
      <c r="R24" s="34"/>
    </row>
    <row r="25" spans="1:18" ht="18">
      <c r="A25" s="26"/>
      <c r="B25" s="33"/>
      <c r="C25" s="64"/>
      <c r="D25" s="140" t="s">
        <v>47</v>
      </c>
      <c r="E25" s="64"/>
      <c r="F25" s="64"/>
      <c r="G25" s="64"/>
      <c r="H25" s="64"/>
      <c r="I25" s="64"/>
      <c r="J25" s="64"/>
      <c r="K25" s="64"/>
      <c r="L25" s="64"/>
      <c r="M25" s="64"/>
      <c r="N25" s="64"/>
      <c r="O25" s="64"/>
      <c r="P25" s="64"/>
      <c r="Q25" s="64"/>
      <c r="R25" s="34"/>
    </row>
    <row r="26" spans="1:18" ht="18">
      <c r="A26" s="26"/>
      <c r="B26" s="33"/>
      <c r="C26" s="64"/>
      <c r="D26" s="140" t="s">
        <v>48</v>
      </c>
      <c r="E26" s="64"/>
      <c r="F26" s="64"/>
      <c r="G26" s="64"/>
      <c r="H26" s="64"/>
      <c r="I26" s="64"/>
      <c r="J26" s="64"/>
      <c r="K26" s="64"/>
      <c r="L26" s="64"/>
      <c r="M26" s="64"/>
      <c r="N26" s="64"/>
      <c r="O26" s="64"/>
      <c r="P26" s="64"/>
      <c r="Q26" s="64"/>
      <c r="R26" s="34"/>
    </row>
    <row r="27" spans="1:18" ht="18">
      <c r="A27" s="26"/>
      <c r="B27" s="33"/>
      <c r="C27" s="64"/>
      <c r="D27" s="64"/>
      <c r="E27" s="64" t="s">
        <v>49</v>
      </c>
      <c r="F27" s="64"/>
      <c r="G27" s="64"/>
      <c r="H27" s="64"/>
      <c r="I27" s="64"/>
      <c r="J27" s="64"/>
      <c r="K27" s="64"/>
      <c r="L27" s="64"/>
      <c r="M27" s="64"/>
      <c r="N27" s="64"/>
      <c r="O27" s="64"/>
      <c r="P27" s="64"/>
      <c r="Q27" s="64"/>
      <c r="R27" s="34"/>
    </row>
    <row r="28" spans="1:18" ht="18">
      <c r="A28" s="26"/>
      <c r="B28" s="33"/>
      <c r="C28" s="64"/>
      <c r="D28" s="64"/>
      <c r="E28" s="64"/>
      <c r="F28" s="64"/>
      <c r="G28" s="64"/>
      <c r="H28" s="64"/>
      <c r="I28" s="64"/>
      <c r="J28" s="64"/>
      <c r="K28" s="64"/>
      <c r="L28" s="64"/>
      <c r="M28" s="64"/>
      <c r="N28" s="64"/>
      <c r="O28" s="64"/>
      <c r="P28" s="64"/>
      <c r="Q28" s="64"/>
      <c r="R28" s="34"/>
    </row>
    <row r="29" spans="1:18" ht="18">
      <c r="A29" s="26"/>
      <c r="B29" s="33"/>
      <c r="C29" s="64" t="s">
        <v>192</v>
      </c>
      <c r="D29" s="64"/>
      <c r="E29" s="64"/>
      <c r="F29" s="64"/>
      <c r="G29" s="35" t="s">
        <v>193</v>
      </c>
      <c r="H29" s="64"/>
      <c r="I29" s="64"/>
      <c r="J29" s="64"/>
      <c r="K29" s="64"/>
      <c r="L29" s="64"/>
      <c r="M29" s="64"/>
      <c r="N29" s="64"/>
      <c r="O29" s="64"/>
      <c r="P29" s="64"/>
      <c r="Q29" s="64"/>
      <c r="R29" s="34"/>
    </row>
    <row r="30" spans="1:18" ht="18">
      <c r="A30" s="26"/>
      <c r="B30" s="33"/>
      <c r="C30" s="64"/>
      <c r="D30" s="64"/>
      <c r="E30" s="64"/>
      <c r="F30" s="64"/>
      <c r="G30" s="64"/>
      <c r="H30" s="64"/>
      <c r="I30" s="64"/>
      <c r="J30" s="64"/>
      <c r="K30" s="64"/>
      <c r="L30" s="64"/>
      <c r="M30" s="64"/>
      <c r="N30" s="64"/>
      <c r="O30" s="64"/>
      <c r="P30" s="64"/>
      <c r="Q30" s="64"/>
      <c r="R30" s="34"/>
    </row>
    <row r="31" spans="1:18" ht="18">
      <c r="A31" s="26"/>
      <c r="B31" s="141" t="s">
        <v>223</v>
      </c>
      <c r="C31" s="64"/>
      <c r="D31" s="64"/>
      <c r="E31" s="64"/>
      <c r="F31" s="64"/>
      <c r="G31" s="64"/>
      <c r="H31" s="64"/>
      <c r="I31" s="64"/>
      <c r="J31" s="64"/>
      <c r="K31" s="64"/>
      <c r="L31" s="64"/>
      <c r="M31" s="64"/>
      <c r="N31" s="64"/>
      <c r="O31" s="64"/>
      <c r="P31" s="64"/>
      <c r="Q31" s="64"/>
      <c r="R31" s="34"/>
    </row>
    <row r="32" spans="1:18" ht="18">
      <c r="A32" s="26"/>
      <c r="B32" s="33"/>
      <c r="C32" s="165" t="s">
        <v>224</v>
      </c>
      <c r="D32" s="166"/>
      <c r="E32" s="166"/>
      <c r="F32" s="166"/>
      <c r="G32" s="167"/>
      <c r="H32" s="64"/>
      <c r="I32" s="64" t="s">
        <v>254</v>
      </c>
      <c r="J32" s="64"/>
      <c r="K32" s="64"/>
      <c r="L32" s="64"/>
      <c r="M32" s="64"/>
      <c r="N32" s="64"/>
      <c r="O32" s="64"/>
      <c r="P32" s="64"/>
      <c r="Q32" s="64"/>
      <c r="R32" s="34"/>
    </row>
    <row r="33" spans="1:18" ht="18">
      <c r="A33" s="26"/>
      <c r="B33" s="33"/>
      <c r="C33" s="158" t="s">
        <v>225</v>
      </c>
      <c r="D33" s="159"/>
      <c r="E33" s="159"/>
      <c r="F33" s="159"/>
      <c r="G33" s="160"/>
      <c r="H33" s="64"/>
      <c r="I33" s="64" t="s">
        <v>255</v>
      </c>
      <c r="J33" s="64"/>
      <c r="K33" s="64"/>
      <c r="L33" s="64"/>
      <c r="M33" s="64"/>
      <c r="N33" s="64"/>
      <c r="O33" s="64"/>
      <c r="P33" s="64"/>
      <c r="Q33" s="64"/>
      <c r="R33" s="34"/>
    </row>
    <row r="34" spans="1:18" ht="18">
      <c r="A34" s="26"/>
      <c r="B34" s="33"/>
      <c r="C34" s="158" t="s">
        <v>256</v>
      </c>
      <c r="D34" s="159"/>
      <c r="E34" s="159"/>
      <c r="F34" s="159"/>
      <c r="G34" s="160"/>
      <c r="H34" s="64"/>
      <c r="I34" s="64" t="s">
        <v>257</v>
      </c>
      <c r="J34" s="64"/>
      <c r="K34" s="64"/>
      <c r="L34" s="64"/>
      <c r="M34" s="64"/>
      <c r="N34" s="64"/>
      <c r="O34" s="64"/>
      <c r="P34" s="64"/>
      <c r="Q34" s="64"/>
      <c r="R34" s="34"/>
    </row>
    <row r="35" spans="1:18" ht="18">
      <c r="A35" s="26"/>
      <c r="B35" s="36"/>
      <c r="C35" s="37"/>
      <c r="D35" s="37"/>
      <c r="E35" s="37"/>
      <c r="F35" s="37"/>
      <c r="G35" s="37"/>
      <c r="H35" s="37"/>
      <c r="I35" s="37"/>
      <c r="J35" s="37"/>
      <c r="K35" s="37"/>
      <c r="L35" s="37"/>
      <c r="M35" s="37"/>
      <c r="N35" s="37"/>
      <c r="O35" s="37"/>
      <c r="P35" s="37"/>
      <c r="Q35" s="37"/>
      <c r="R35" s="38"/>
    </row>
    <row r="36" spans="1:18" ht="19.8">
      <c r="A36" s="26"/>
      <c r="B36" s="39" t="s">
        <v>50</v>
      </c>
      <c r="C36" s="31"/>
      <c r="D36" s="31"/>
      <c r="E36" s="31"/>
      <c r="F36" s="31"/>
      <c r="G36" s="31"/>
      <c r="H36" s="31"/>
      <c r="I36" s="31"/>
      <c r="J36" s="31"/>
      <c r="K36" s="31"/>
      <c r="L36" s="31"/>
      <c r="M36" s="31"/>
      <c r="N36" s="31"/>
      <c r="O36" s="31"/>
      <c r="P36" s="31"/>
      <c r="Q36" s="31"/>
      <c r="R36" s="32"/>
    </row>
    <row r="37" spans="1:18" s="92" customFormat="1" ht="16.2">
      <c r="A37" s="88"/>
      <c r="B37" s="89"/>
      <c r="C37" s="88" t="s">
        <v>51</v>
      </c>
      <c r="D37" s="88"/>
      <c r="E37" s="88"/>
      <c r="F37" s="90" t="s">
        <v>52</v>
      </c>
      <c r="G37" s="88"/>
      <c r="H37" s="88"/>
      <c r="I37" s="88"/>
      <c r="J37" s="88"/>
      <c r="K37" s="88"/>
      <c r="L37" s="88"/>
      <c r="M37" s="88"/>
      <c r="N37" s="88"/>
      <c r="O37" s="88"/>
      <c r="P37" s="88"/>
      <c r="Q37" s="88"/>
      <c r="R37" s="91"/>
    </row>
    <row r="38" spans="1:18" s="92" customFormat="1" ht="16.2">
      <c r="A38" s="88"/>
      <c r="B38" s="89"/>
      <c r="C38" s="88" t="s">
        <v>178</v>
      </c>
      <c r="D38" s="88"/>
      <c r="E38" s="88"/>
      <c r="F38" s="90"/>
      <c r="G38" s="88"/>
      <c r="H38" s="88"/>
      <c r="I38" s="88"/>
      <c r="J38" s="88"/>
      <c r="K38" s="88"/>
      <c r="L38" s="88"/>
      <c r="M38" s="88"/>
      <c r="N38" s="88"/>
      <c r="O38" s="88"/>
      <c r="P38" s="88"/>
      <c r="Q38" s="88"/>
      <c r="R38" s="91"/>
    </row>
    <row r="39" spans="1:18" s="92" customFormat="1" ht="16.2">
      <c r="A39" s="88"/>
      <c r="B39" s="89"/>
      <c r="C39" s="88" t="s">
        <v>177</v>
      </c>
      <c r="D39" s="88"/>
      <c r="E39" s="88"/>
      <c r="F39" s="90"/>
      <c r="G39" s="88"/>
      <c r="H39" s="88"/>
      <c r="I39" s="88"/>
      <c r="J39" s="88"/>
      <c r="K39" s="88"/>
      <c r="L39" s="88"/>
      <c r="M39" s="88"/>
      <c r="N39" s="88"/>
      <c r="O39" s="88"/>
      <c r="P39" s="88"/>
      <c r="Q39" s="88"/>
      <c r="R39" s="91"/>
    </row>
    <row r="40" spans="1:18" s="92" customFormat="1" ht="16.2">
      <c r="A40" s="88"/>
      <c r="B40" s="89"/>
      <c r="C40" s="88"/>
      <c r="D40" s="88"/>
      <c r="E40" s="88"/>
      <c r="F40" s="90"/>
      <c r="G40" s="88"/>
      <c r="H40" s="88"/>
      <c r="I40" s="88"/>
      <c r="J40" s="88"/>
      <c r="K40" s="88"/>
      <c r="L40" s="88"/>
      <c r="M40" s="88"/>
      <c r="N40" s="88"/>
      <c r="O40" s="88"/>
      <c r="P40" s="88"/>
      <c r="Q40" s="88"/>
      <c r="R40" s="91"/>
    </row>
    <row r="41" spans="1:18" ht="32.4" thickBot="1">
      <c r="A41" s="26"/>
      <c r="B41" s="40"/>
      <c r="C41" s="41" t="s">
        <v>53</v>
      </c>
      <c r="D41" s="26"/>
      <c r="E41" s="26"/>
      <c r="F41" s="26"/>
      <c r="G41" s="42" t="s">
        <v>54</v>
      </c>
      <c r="H41" s="26"/>
      <c r="I41" s="26"/>
      <c r="J41" s="26"/>
      <c r="K41" s="41" t="s">
        <v>55</v>
      </c>
      <c r="L41" s="26"/>
      <c r="M41" s="26"/>
      <c r="N41" s="26"/>
      <c r="O41" s="26"/>
      <c r="P41" s="26"/>
      <c r="Q41" s="26"/>
      <c r="R41" s="34"/>
    </row>
    <row r="42" spans="1:18" ht="18.600000000000001" thickBot="1">
      <c r="A42" s="26"/>
      <c r="B42" s="43"/>
      <c r="C42" s="44"/>
      <c r="D42" s="78" t="s">
        <v>124</v>
      </c>
      <c r="E42" s="79" t="s">
        <v>56</v>
      </c>
      <c r="F42" s="80" t="s">
        <v>57</v>
      </c>
      <c r="G42" s="44"/>
      <c r="H42" s="44"/>
      <c r="I42" s="44"/>
      <c r="J42" s="44"/>
      <c r="K42" s="44"/>
      <c r="L42" s="44"/>
      <c r="M42" s="44"/>
      <c r="N42" s="44"/>
      <c r="O42" s="44"/>
      <c r="P42" s="44"/>
      <c r="Q42" s="26"/>
      <c r="R42" s="34"/>
    </row>
    <row r="43" spans="1:18" ht="18">
      <c r="A43" s="26"/>
      <c r="B43" s="43"/>
      <c r="C43" s="26"/>
      <c r="D43" s="76" t="s">
        <v>58</v>
      </c>
      <c r="E43" s="47">
        <f>2^16</f>
        <v>65536</v>
      </c>
      <c r="F43" s="77"/>
      <c r="G43" s="44"/>
      <c r="H43" s="44"/>
      <c r="I43" s="44"/>
      <c r="J43" s="44"/>
      <c r="K43" s="44"/>
      <c r="L43" s="44"/>
      <c r="M43" s="44"/>
      <c r="N43" s="44"/>
      <c r="O43" s="44"/>
      <c r="P43" s="44"/>
      <c r="Q43" s="26"/>
      <c r="R43" s="34"/>
    </row>
    <row r="44" spans="1:18" ht="18">
      <c r="A44" s="26"/>
      <c r="B44" s="43"/>
      <c r="C44" s="26"/>
      <c r="D44" s="72" t="s">
        <v>59</v>
      </c>
      <c r="E44" s="45">
        <f>2^12</f>
        <v>4096</v>
      </c>
      <c r="F44" s="73"/>
      <c r="G44" s="44"/>
      <c r="H44" s="44"/>
      <c r="I44" s="44"/>
      <c r="J44" s="44"/>
      <c r="K44" s="44"/>
      <c r="L44" s="44"/>
      <c r="M44" s="44"/>
      <c r="N44" s="44"/>
      <c r="O44" s="44"/>
      <c r="P44" s="44"/>
      <c r="Q44" s="26"/>
      <c r="R44" s="34"/>
    </row>
    <row r="45" spans="1:18" ht="18">
      <c r="A45" s="26"/>
      <c r="B45" s="43"/>
      <c r="C45" s="26"/>
      <c r="D45" s="72" t="s">
        <v>60</v>
      </c>
      <c r="E45" s="45">
        <f>2^5</f>
        <v>32</v>
      </c>
      <c r="F45" s="73"/>
      <c r="G45" s="44"/>
      <c r="H45" s="44"/>
      <c r="I45" s="44"/>
      <c r="J45" s="44"/>
      <c r="K45" s="44"/>
      <c r="L45" s="44"/>
      <c r="M45" s="44"/>
      <c r="N45" s="44"/>
      <c r="O45" s="44"/>
      <c r="P45" s="44"/>
      <c r="Q45" s="26"/>
      <c r="R45" s="34"/>
    </row>
    <row r="46" spans="1:18" ht="18.600000000000001" thickBot="1">
      <c r="A46" s="26"/>
      <c r="B46" s="43"/>
      <c r="C46" s="26"/>
      <c r="D46" s="74" t="s">
        <v>61</v>
      </c>
      <c r="E46" s="46">
        <v>1</v>
      </c>
      <c r="F46" s="75"/>
      <c r="G46" s="44"/>
      <c r="H46" s="44"/>
      <c r="I46" s="44"/>
      <c r="J46" s="44"/>
      <c r="K46" s="44"/>
      <c r="L46" s="44"/>
      <c r="M46" s="44"/>
      <c r="N46" s="44"/>
      <c r="O46" s="44"/>
      <c r="P46" s="44"/>
      <c r="Q46" s="26"/>
      <c r="R46" s="34"/>
    </row>
    <row r="47" spans="1:18" ht="19.2" thickTop="1" thickBot="1">
      <c r="A47" s="26"/>
      <c r="B47" s="43"/>
      <c r="C47" s="26"/>
      <c r="D47" s="82" t="s">
        <v>62</v>
      </c>
      <c r="E47" s="83">
        <f>SUM(E43:E46)</f>
        <v>69665</v>
      </c>
      <c r="F47" s="84" t="str">
        <f>"0x" &amp; DEC2HEX(E47)</f>
        <v>0x11021</v>
      </c>
      <c r="G47" s="44"/>
      <c r="H47" s="44"/>
      <c r="I47" s="44"/>
      <c r="J47" s="44"/>
      <c r="K47" s="44"/>
      <c r="L47" s="44"/>
      <c r="M47" s="44"/>
      <c r="N47" s="44"/>
      <c r="O47" s="44"/>
      <c r="P47" s="44"/>
      <c r="Q47" s="26"/>
      <c r="R47" s="34"/>
    </row>
    <row r="48" spans="1:18" ht="18">
      <c r="A48" s="26"/>
      <c r="B48" s="43"/>
      <c r="C48" s="44"/>
      <c r="D48" s="44"/>
      <c r="E48" s="44"/>
      <c r="F48" s="44"/>
      <c r="G48" s="44"/>
      <c r="H48" s="44"/>
      <c r="I48" s="44"/>
      <c r="J48" s="44"/>
      <c r="K48" s="44"/>
      <c r="L48" s="44"/>
      <c r="M48" s="44"/>
      <c r="N48" s="44"/>
      <c r="O48" s="44"/>
      <c r="P48" s="44"/>
      <c r="Q48" s="26"/>
      <c r="R48" s="34"/>
    </row>
    <row r="49" spans="1:19" ht="32.4" thickBot="1">
      <c r="A49" s="26"/>
      <c r="B49" s="43"/>
      <c r="C49" s="41" t="s">
        <v>63</v>
      </c>
      <c r="D49" s="26"/>
      <c r="E49" s="26"/>
      <c r="F49" s="26"/>
      <c r="G49" s="42" t="s">
        <v>64</v>
      </c>
      <c r="H49" s="26"/>
      <c r="I49" s="26"/>
      <c r="J49" s="26"/>
      <c r="K49" s="41" t="s">
        <v>65</v>
      </c>
      <c r="L49" s="44"/>
      <c r="M49" s="44"/>
      <c r="N49" s="44"/>
      <c r="O49" s="44"/>
      <c r="P49" s="44"/>
      <c r="Q49" s="26"/>
      <c r="R49" s="34"/>
    </row>
    <row r="50" spans="1:19" ht="18.600000000000001" thickBot="1">
      <c r="A50" s="26"/>
      <c r="B50" s="43"/>
      <c r="C50" s="44"/>
      <c r="D50" s="78" t="s">
        <v>124</v>
      </c>
      <c r="E50" s="79" t="s">
        <v>56</v>
      </c>
      <c r="F50" s="80" t="s">
        <v>57</v>
      </c>
      <c r="G50" s="44"/>
      <c r="H50" s="44"/>
      <c r="I50" s="44"/>
      <c r="J50" s="44"/>
      <c r="K50" s="44"/>
      <c r="L50" s="44"/>
      <c r="M50" s="44"/>
      <c r="N50" s="44"/>
      <c r="O50" s="44"/>
      <c r="P50" s="44"/>
      <c r="Q50" s="26"/>
      <c r="R50" s="34"/>
    </row>
    <row r="51" spans="1:19" ht="18">
      <c r="A51" s="26"/>
      <c r="B51" s="43"/>
      <c r="C51" s="26"/>
      <c r="D51" s="76" t="s">
        <v>66</v>
      </c>
      <c r="E51" s="47">
        <f>2^8</f>
        <v>256</v>
      </c>
      <c r="F51" s="77"/>
      <c r="G51" s="44"/>
      <c r="H51" s="44"/>
      <c r="I51" s="44"/>
      <c r="J51" s="44"/>
      <c r="K51" s="44"/>
      <c r="L51" s="44"/>
      <c r="M51" s="44"/>
      <c r="N51" s="44"/>
      <c r="O51" s="44"/>
      <c r="P51" s="44"/>
      <c r="Q51" s="26"/>
      <c r="R51" s="34"/>
    </row>
    <row r="52" spans="1:19" ht="18">
      <c r="A52" s="26"/>
      <c r="B52" s="43"/>
      <c r="C52" s="26"/>
      <c r="D52" s="72" t="s">
        <v>67</v>
      </c>
      <c r="E52" s="45">
        <f>2^4</f>
        <v>16</v>
      </c>
      <c r="F52" s="73"/>
      <c r="G52" s="44"/>
      <c r="H52" s="44"/>
      <c r="I52" s="44"/>
      <c r="J52" s="44"/>
      <c r="K52" s="44"/>
      <c r="L52" s="44"/>
      <c r="M52" s="44"/>
      <c r="N52" s="44"/>
      <c r="O52" s="44"/>
      <c r="P52" s="44"/>
      <c r="Q52" s="26"/>
      <c r="R52" s="34"/>
    </row>
    <row r="53" spans="1:19" ht="18">
      <c r="A53" s="26"/>
      <c r="B53" s="43"/>
      <c r="C53" s="26"/>
      <c r="D53" s="72" t="s">
        <v>68</v>
      </c>
      <c r="E53" s="45">
        <f>2^3</f>
        <v>8</v>
      </c>
      <c r="F53" s="73"/>
      <c r="G53" s="44"/>
      <c r="H53" s="44"/>
      <c r="I53" s="44"/>
      <c r="J53" s="44"/>
      <c r="K53" s="44"/>
      <c r="L53" s="44"/>
      <c r="M53" s="44"/>
      <c r="N53" s="44"/>
      <c r="O53" s="44"/>
      <c r="P53" s="44"/>
      <c r="Q53" s="26"/>
      <c r="R53" s="34"/>
    </row>
    <row r="54" spans="1:19" ht="18">
      <c r="A54" s="26"/>
      <c r="B54" s="43"/>
      <c r="C54" s="26"/>
      <c r="D54" s="72" t="s">
        <v>69</v>
      </c>
      <c r="E54" s="45">
        <f>2^2</f>
        <v>4</v>
      </c>
      <c r="F54" s="73"/>
      <c r="G54" s="44"/>
      <c r="H54" s="44"/>
      <c r="I54" s="44"/>
      <c r="J54" s="44"/>
      <c r="K54" s="44"/>
      <c r="L54" s="44"/>
      <c r="M54" s="44"/>
      <c r="N54" s="44"/>
      <c r="O54" s="44"/>
      <c r="P54" s="44"/>
      <c r="Q54" s="26"/>
      <c r="R54" s="34"/>
    </row>
    <row r="55" spans="1:19" ht="18.600000000000001" thickBot="1">
      <c r="A55" s="26"/>
      <c r="B55" s="43"/>
      <c r="C55" s="26"/>
      <c r="D55" s="81" t="s">
        <v>61</v>
      </c>
      <c r="E55" s="46">
        <v>1</v>
      </c>
      <c r="F55" s="75"/>
      <c r="G55" s="44"/>
      <c r="H55" s="44"/>
      <c r="I55" s="44"/>
      <c r="J55" s="44"/>
      <c r="K55" s="44"/>
      <c r="L55" s="44"/>
      <c r="M55" s="44"/>
      <c r="N55" s="44"/>
      <c r="O55" s="44"/>
      <c r="P55" s="44"/>
      <c r="Q55" s="26"/>
      <c r="R55" s="34"/>
    </row>
    <row r="56" spans="1:19" ht="19.2" thickTop="1" thickBot="1">
      <c r="A56" s="26"/>
      <c r="B56" s="43"/>
      <c r="C56" s="26"/>
      <c r="D56" s="85" t="s">
        <v>70</v>
      </c>
      <c r="E56" s="86">
        <f>SUM(E51:E55)</f>
        <v>285</v>
      </c>
      <c r="F56" s="87" t="str">
        <f>"0x" &amp; DEC2HEX(E56)</f>
        <v>0x11D</v>
      </c>
      <c r="G56" s="44"/>
      <c r="H56" s="44"/>
      <c r="I56" s="44"/>
      <c r="J56" s="44"/>
      <c r="K56" s="44"/>
      <c r="L56" s="44"/>
      <c r="M56" s="44"/>
      <c r="N56" s="44"/>
      <c r="O56" s="44"/>
      <c r="P56" s="44"/>
      <c r="Q56" s="26"/>
      <c r="R56" s="34"/>
    </row>
    <row r="57" spans="1:19" ht="18">
      <c r="A57" s="26"/>
      <c r="B57" s="36"/>
      <c r="C57" s="37"/>
      <c r="D57" s="37"/>
      <c r="E57" s="37"/>
      <c r="F57" s="37"/>
      <c r="G57" s="37"/>
      <c r="H57" s="37"/>
      <c r="I57" s="37"/>
      <c r="J57" s="37"/>
      <c r="K57" s="37"/>
      <c r="L57" s="37"/>
      <c r="M57" s="37"/>
      <c r="N57" s="37"/>
      <c r="O57" s="37"/>
      <c r="P57" s="37"/>
      <c r="Q57" s="37"/>
      <c r="R57" s="38"/>
    </row>
    <row r="58" spans="1:19" ht="18">
      <c r="B58" s="62" t="s">
        <v>105</v>
      </c>
      <c r="C58" s="31"/>
      <c r="D58" s="31"/>
      <c r="E58" s="31"/>
      <c r="F58" s="31"/>
      <c r="G58" s="31"/>
      <c r="H58" s="31"/>
      <c r="I58" s="31"/>
      <c r="J58" s="31"/>
      <c r="K58" s="31"/>
      <c r="L58" s="31"/>
      <c r="M58" s="31"/>
      <c r="N58" s="31"/>
      <c r="O58" s="31"/>
      <c r="P58" s="31"/>
      <c r="Q58" s="31"/>
      <c r="R58" s="32"/>
      <c r="S58" s="64"/>
    </row>
    <row r="59" spans="1:19" ht="18">
      <c r="B59" s="65" t="s">
        <v>179</v>
      </c>
      <c r="C59" s="64"/>
      <c r="D59" s="64"/>
      <c r="E59" s="64"/>
      <c r="F59" s="64"/>
      <c r="G59" s="64"/>
      <c r="H59" s="64"/>
      <c r="I59" s="64"/>
      <c r="J59" s="64"/>
      <c r="K59" s="64"/>
      <c r="L59" s="64"/>
      <c r="M59" s="64"/>
      <c r="N59" s="64"/>
      <c r="O59" s="64"/>
      <c r="P59" s="64"/>
      <c r="Q59" s="64"/>
      <c r="R59" s="34"/>
      <c r="S59" s="64"/>
    </row>
    <row r="60" spans="1:19" ht="18">
      <c r="B60" s="65" t="s">
        <v>110</v>
      </c>
      <c r="C60" s="64"/>
      <c r="D60" s="64"/>
      <c r="E60" s="64"/>
      <c r="F60" s="64"/>
      <c r="G60" s="64"/>
      <c r="H60" s="64"/>
      <c r="I60" s="64"/>
      <c r="J60" s="64"/>
      <c r="K60" s="64"/>
      <c r="L60" s="64"/>
      <c r="M60" s="64"/>
      <c r="N60" s="64"/>
      <c r="O60" s="64"/>
      <c r="P60" s="64"/>
      <c r="Q60" s="64"/>
      <c r="R60" s="34"/>
      <c r="S60" s="64"/>
    </row>
    <row r="61" spans="1:19" ht="18">
      <c r="B61" s="65" t="s">
        <v>111</v>
      </c>
      <c r="C61" s="64"/>
      <c r="D61" s="64"/>
      <c r="E61" s="64"/>
      <c r="F61" s="64"/>
      <c r="G61" s="64"/>
      <c r="H61" s="64"/>
      <c r="I61" s="64"/>
      <c r="J61" s="64"/>
      <c r="K61" s="64"/>
      <c r="L61" s="64"/>
      <c r="M61" s="64"/>
      <c r="N61" s="64"/>
      <c r="O61" s="64"/>
      <c r="P61" s="64"/>
      <c r="Q61" s="64"/>
      <c r="R61" s="34"/>
      <c r="S61" s="64"/>
    </row>
    <row r="62" spans="1:19" ht="18">
      <c r="B62" s="65"/>
      <c r="C62" s="64" t="s">
        <v>112</v>
      </c>
      <c r="D62" s="64"/>
      <c r="E62" s="64"/>
      <c r="F62" s="64"/>
      <c r="G62" s="64"/>
      <c r="H62" s="64"/>
      <c r="I62" s="64"/>
      <c r="J62" s="64"/>
      <c r="K62" s="64"/>
      <c r="L62" s="64"/>
      <c r="M62" s="64"/>
      <c r="N62" s="64"/>
      <c r="O62" s="64"/>
      <c r="P62" s="64"/>
      <c r="Q62" s="64"/>
      <c r="R62" s="34"/>
      <c r="S62" s="64"/>
    </row>
    <row r="63" spans="1:19" ht="18">
      <c r="B63" s="63"/>
      <c r="C63" s="35" t="s">
        <v>0</v>
      </c>
      <c r="D63" s="64"/>
      <c r="E63" s="64"/>
      <c r="F63" s="64"/>
      <c r="G63" s="64"/>
      <c r="H63" s="64"/>
      <c r="I63" s="64"/>
      <c r="J63" s="64"/>
      <c r="K63" s="64"/>
      <c r="L63" s="64"/>
      <c r="M63" s="64"/>
      <c r="N63" s="64"/>
      <c r="O63" s="64"/>
      <c r="P63" s="64"/>
      <c r="Q63" s="64"/>
      <c r="R63" s="34"/>
      <c r="S63" s="64"/>
    </row>
    <row r="64" spans="1:19" ht="18">
      <c r="B64" s="63"/>
      <c r="C64" s="64"/>
      <c r="D64" s="64"/>
      <c r="E64" s="64"/>
      <c r="F64" s="64"/>
      <c r="G64" s="64"/>
      <c r="H64" s="64"/>
      <c r="I64" s="64"/>
      <c r="J64" s="64"/>
      <c r="K64" s="64"/>
      <c r="L64" s="64"/>
      <c r="M64" s="64"/>
      <c r="N64" s="64"/>
      <c r="O64" s="64"/>
      <c r="P64" s="64"/>
      <c r="Q64" s="64"/>
      <c r="R64" s="34"/>
      <c r="S64" s="64"/>
    </row>
    <row r="65" spans="2:19" ht="18">
      <c r="B65" s="40" t="s">
        <v>106</v>
      </c>
      <c r="C65" s="64"/>
      <c r="D65" s="64"/>
      <c r="E65" s="64"/>
      <c r="F65" s="64"/>
      <c r="G65" s="64"/>
      <c r="H65" s="64"/>
      <c r="I65" s="64"/>
      <c r="J65" s="64"/>
      <c r="K65" s="64"/>
      <c r="L65" s="64"/>
      <c r="M65" s="64"/>
      <c r="N65" s="64"/>
      <c r="O65" s="64"/>
      <c r="P65" s="64"/>
      <c r="Q65" s="64"/>
      <c r="R65" s="34"/>
      <c r="S65" s="64"/>
    </row>
    <row r="66" spans="2:19" ht="18">
      <c r="B66" s="40" t="s">
        <v>107</v>
      </c>
      <c r="C66" s="64"/>
      <c r="D66" s="64"/>
      <c r="E66" s="64"/>
      <c r="F66" s="64"/>
      <c r="G66" s="64"/>
      <c r="H66" s="64"/>
      <c r="I66" s="64"/>
      <c r="J66" s="64"/>
      <c r="K66" s="64"/>
      <c r="L66" s="64"/>
      <c r="M66" s="64"/>
      <c r="N66" s="64"/>
      <c r="O66" s="64"/>
      <c r="P66" s="64"/>
      <c r="Q66" s="64"/>
      <c r="R66" s="34"/>
      <c r="S66" s="64"/>
    </row>
    <row r="67" spans="2:19" ht="18">
      <c r="B67" s="40" t="s">
        <v>108</v>
      </c>
      <c r="C67" s="64"/>
      <c r="D67" s="64"/>
      <c r="E67" s="64"/>
      <c r="F67" s="64"/>
      <c r="G67" s="64"/>
      <c r="H67" s="64"/>
      <c r="I67" s="64"/>
      <c r="J67" s="64"/>
      <c r="K67" s="64"/>
      <c r="L67" s="64"/>
      <c r="M67" s="64"/>
      <c r="N67" s="64"/>
      <c r="O67" s="64"/>
      <c r="P67" s="64"/>
      <c r="Q67" s="64"/>
      <c r="R67" s="34"/>
      <c r="S67" s="64"/>
    </row>
    <row r="68" spans="2:19" ht="18">
      <c r="B68" s="40" t="s">
        <v>109</v>
      </c>
      <c r="C68" s="64"/>
      <c r="D68" s="64"/>
      <c r="E68" s="64"/>
      <c r="F68" s="64"/>
      <c r="G68" s="64"/>
      <c r="H68" s="64"/>
      <c r="I68" s="64"/>
      <c r="J68" s="64"/>
      <c r="K68" s="64"/>
      <c r="L68" s="64"/>
      <c r="M68" s="64"/>
      <c r="N68" s="64"/>
      <c r="O68" s="64"/>
      <c r="P68" s="64"/>
      <c r="Q68" s="64"/>
      <c r="R68" s="34"/>
      <c r="S68" s="64"/>
    </row>
    <row r="69" spans="2:19" ht="18">
      <c r="B69" s="40"/>
      <c r="C69" s="64"/>
      <c r="D69" s="64"/>
      <c r="E69" s="64"/>
      <c r="F69" s="64"/>
      <c r="G69" s="64"/>
      <c r="H69" s="64"/>
      <c r="I69" s="64"/>
      <c r="J69" s="64"/>
      <c r="K69" s="64"/>
      <c r="L69" s="64"/>
      <c r="M69" s="64"/>
      <c r="N69" s="64"/>
      <c r="O69" s="64"/>
      <c r="P69" s="64"/>
      <c r="Q69" s="64"/>
      <c r="R69" s="34"/>
      <c r="S69" s="64"/>
    </row>
    <row r="70" spans="2:19" ht="18">
      <c r="B70" s="40" t="s">
        <v>180</v>
      </c>
      <c r="C70" s="64"/>
      <c r="D70" s="64"/>
      <c r="E70" s="64"/>
      <c r="F70" s="64"/>
      <c r="G70" s="64"/>
      <c r="H70" s="64"/>
      <c r="I70" s="64"/>
      <c r="J70" s="64"/>
      <c r="K70" s="64"/>
      <c r="L70" s="64"/>
      <c r="M70" s="64"/>
      <c r="N70" s="64"/>
      <c r="O70" s="64"/>
      <c r="P70" s="64"/>
      <c r="Q70" s="64"/>
      <c r="R70" s="34"/>
      <c r="S70" s="64"/>
    </row>
    <row r="71" spans="2:19" ht="18">
      <c r="B71" s="40" t="s">
        <v>181</v>
      </c>
      <c r="C71" s="64"/>
      <c r="D71" s="64"/>
      <c r="E71" s="64"/>
      <c r="F71" s="64"/>
      <c r="G71" s="64"/>
      <c r="H71" s="64"/>
      <c r="I71" s="64"/>
      <c r="J71" s="64"/>
      <c r="K71" s="64"/>
      <c r="L71" s="64"/>
      <c r="M71" s="64"/>
      <c r="N71" s="64"/>
      <c r="O71" s="64"/>
      <c r="P71" s="64"/>
      <c r="Q71" s="64"/>
      <c r="R71" s="34"/>
      <c r="S71" s="64"/>
    </row>
    <row r="72" spans="2:19" ht="18">
      <c r="B72" s="40"/>
      <c r="C72" s="64"/>
      <c r="D72" s="64"/>
      <c r="E72" s="64"/>
      <c r="F72" s="64"/>
      <c r="G72" s="64"/>
      <c r="H72" s="64"/>
      <c r="I72" s="64"/>
      <c r="J72" s="64"/>
      <c r="K72" s="64"/>
      <c r="L72" s="64"/>
      <c r="M72" s="64"/>
      <c r="N72" s="64"/>
      <c r="O72" s="64"/>
      <c r="P72" s="64"/>
      <c r="Q72" s="64"/>
      <c r="R72" s="34"/>
      <c r="S72" s="64"/>
    </row>
    <row r="73" spans="2:19" ht="18">
      <c r="B73" s="95"/>
      <c r="C73" s="96" t="s">
        <v>133</v>
      </c>
      <c r="D73" s="31"/>
      <c r="E73" s="31"/>
      <c r="F73" s="31"/>
      <c r="G73" s="31"/>
      <c r="H73" s="31"/>
      <c r="I73" s="31"/>
      <c r="J73" s="31"/>
      <c r="K73" s="31"/>
      <c r="L73" s="31"/>
      <c r="M73" s="31"/>
      <c r="N73" s="31"/>
      <c r="O73" s="31"/>
      <c r="P73" s="31"/>
      <c r="Q73" s="31"/>
      <c r="R73" s="32"/>
      <c r="S73" s="64"/>
    </row>
    <row r="74" spans="2:19" ht="18">
      <c r="B74" s="40"/>
      <c r="C74" s="64" t="s">
        <v>134</v>
      </c>
      <c r="D74" s="64"/>
      <c r="E74" s="64"/>
      <c r="F74" s="64"/>
      <c r="G74" s="64"/>
      <c r="H74" s="64"/>
      <c r="I74" s="64"/>
      <c r="J74" s="64"/>
      <c r="K74" s="64"/>
      <c r="L74" s="64"/>
      <c r="M74" s="64"/>
      <c r="N74" s="64"/>
      <c r="O74" s="64"/>
      <c r="P74" s="64"/>
      <c r="Q74" s="64"/>
      <c r="R74" s="34"/>
      <c r="S74" s="64"/>
    </row>
    <row r="75" spans="2:19" ht="18">
      <c r="B75" s="40"/>
      <c r="C75" s="64" t="s">
        <v>135</v>
      </c>
      <c r="D75" s="64"/>
      <c r="E75" s="64"/>
      <c r="F75" s="64"/>
      <c r="G75" s="64"/>
      <c r="H75" s="64"/>
      <c r="I75" s="64"/>
      <c r="J75" s="64"/>
      <c r="K75" s="64"/>
      <c r="L75" s="64"/>
      <c r="M75" s="64"/>
      <c r="N75" s="64"/>
      <c r="O75" s="64"/>
      <c r="P75" s="64"/>
      <c r="Q75" s="64"/>
      <c r="R75" s="34"/>
      <c r="S75" s="64"/>
    </row>
    <row r="76" spans="2:19" ht="18">
      <c r="B76" s="40"/>
      <c r="C76" s="64"/>
      <c r="D76" s="64"/>
      <c r="E76" s="64"/>
      <c r="F76" s="64"/>
      <c r="G76" s="64"/>
      <c r="H76" s="64"/>
      <c r="I76" s="64"/>
      <c r="J76" s="64"/>
      <c r="K76" s="64"/>
      <c r="L76" s="64"/>
      <c r="M76" s="64"/>
      <c r="N76" s="64"/>
      <c r="O76" s="64"/>
      <c r="P76" s="64"/>
      <c r="Q76" s="64"/>
      <c r="R76" s="34"/>
      <c r="S76" s="64"/>
    </row>
    <row r="77" spans="2:19" ht="18">
      <c r="B77" s="40"/>
      <c r="C77" s="64"/>
      <c r="D77" s="64"/>
      <c r="E77" s="64"/>
      <c r="F77" s="64"/>
      <c r="G77" s="64"/>
      <c r="H77" s="64"/>
      <c r="I77" s="64"/>
      <c r="J77" s="64"/>
      <c r="K77" s="64"/>
      <c r="L77" s="64"/>
      <c r="M77" s="64"/>
      <c r="N77" s="64"/>
      <c r="O77" s="64"/>
      <c r="P77" s="64"/>
      <c r="Q77" s="64"/>
      <c r="R77" s="34"/>
      <c r="S77" s="64"/>
    </row>
    <row r="78" spans="2:19" ht="18">
      <c r="B78" s="40"/>
      <c r="C78" s="64"/>
      <c r="D78" s="64"/>
      <c r="E78" s="64"/>
      <c r="F78" s="64"/>
      <c r="G78" s="64"/>
      <c r="H78" s="64"/>
      <c r="I78" s="64"/>
      <c r="J78" s="64"/>
      <c r="K78" s="64"/>
      <c r="L78" s="64"/>
      <c r="M78" s="64"/>
      <c r="N78" s="64"/>
      <c r="O78" s="64"/>
      <c r="P78" s="64"/>
      <c r="Q78" s="64"/>
      <c r="R78" s="34"/>
      <c r="S78" s="64"/>
    </row>
    <row r="79" spans="2:19" ht="18">
      <c r="B79" s="40"/>
      <c r="C79" s="64"/>
      <c r="D79" s="64"/>
      <c r="E79" s="64"/>
      <c r="F79" s="64"/>
      <c r="G79" s="64"/>
      <c r="H79" s="64"/>
      <c r="I79" s="64"/>
      <c r="J79" s="64"/>
      <c r="K79" s="64"/>
      <c r="L79" s="64"/>
      <c r="M79" s="64"/>
      <c r="N79" s="64"/>
      <c r="O79" s="64"/>
      <c r="P79" s="64"/>
      <c r="Q79" s="64"/>
      <c r="R79" s="34"/>
      <c r="S79" s="64"/>
    </row>
    <row r="80" spans="2:19" ht="18">
      <c r="B80" s="40"/>
      <c r="C80" s="64"/>
      <c r="D80" s="64"/>
      <c r="E80" s="64"/>
      <c r="F80" s="64"/>
      <c r="G80" s="64"/>
      <c r="H80" s="64"/>
      <c r="I80" s="64"/>
      <c r="J80" s="64"/>
      <c r="K80" s="64"/>
      <c r="L80" s="64"/>
      <c r="M80" s="64"/>
      <c r="N80" s="64"/>
      <c r="O80" s="64"/>
      <c r="P80" s="64"/>
      <c r="Q80" s="64"/>
      <c r="R80" s="34"/>
      <c r="S80" s="64"/>
    </row>
    <row r="81" spans="2:19" ht="18">
      <c r="B81" s="40"/>
      <c r="C81" s="64"/>
      <c r="D81" s="64"/>
      <c r="E81" s="64"/>
      <c r="F81" s="64"/>
      <c r="G81" s="64"/>
      <c r="H81" s="64"/>
      <c r="I81" s="64"/>
      <c r="J81" s="64"/>
      <c r="K81" s="64"/>
      <c r="L81" s="64"/>
      <c r="M81" s="64"/>
      <c r="N81" s="64"/>
      <c r="O81" s="64"/>
      <c r="P81" s="64"/>
      <c r="Q81" s="64"/>
      <c r="R81" s="34"/>
      <c r="S81" s="64"/>
    </row>
    <row r="82" spans="2:19" ht="18">
      <c r="B82" s="40"/>
      <c r="C82" s="64"/>
      <c r="D82" s="64"/>
      <c r="E82" s="64"/>
      <c r="F82" s="64"/>
      <c r="G82" s="64"/>
      <c r="H82" s="64"/>
      <c r="I82" s="64"/>
      <c r="J82" s="64"/>
      <c r="K82" s="64"/>
      <c r="L82" s="64"/>
      <c r="M82" s="64"/>
      <c r="N82" s="64"/>
      <c r="O82" s="64"/>
      <c r="P82" s="64"/>
      <c r="Q82" s="64"/>
      <c r="R82" s="34"/>
      <c r="S82" s="64"/>
    </row>
    <row r="83" spans="2:19" ht="18">
      <c r="B83" s="40"/>
      <c r="C83" s="64"/>
      <c r="D83" s="64"/>
      <c r="E83" s="64"/>
      <c r="F83" s="64"/>
      <c r="G83" s="64"/>
      <c r="H83" s="64"/>
      <c r="I83" s="64"/>
      <c r="J83" s="64"/>
      <c r="K83" s="64"/>
      <c r="L83" s="64"/>
      <c r="M83" s="64"/>
      <c r="N83" s="64"/>
      <c r="O83" s="64"/>
      <c r="P83" s="64"/>
      <c r="Q83" s="64"/>
      <c r="R83" s="34"/>
      <c r="S83" s="64"/>
    </row>
    <row r="84" spans="2:19">
      <c r="B84" s="97"/>
      <c r="C84" s="94"/>
      <c r="D84" s="94"/>
      <c r="E84" s="94"/>
      <c r="F84" s="94"/>
      <c r="G84" s="94"/>
      <c r="H84" s="94"/>
      <c r="I84" s="94"/>
      <c r="J84" s="94"/>
      <c r="K84" s="94"/>
      <c r="L84" s="94"/>
      <c r="M84" s="94"/>
      <c r="N84" s="94"/>
      <c r="O84" s="94"/>
      <c r="P84" s="94"/>
      <c r="Q84" s="94"/>
      <c r="R84" s="98"/>
    </row>
    <row r="85" spans="2:19">
      <c r="B85" s="97"/>
      <c r="C85" s="94"/>
      <c r="D85" s="94"/>
      <c r="E85" s="94"/>
      <c r="F85" s="94"/>
      <c r="G85" s="94"/>
      <c r="H85" s="94"/>
      <c r="I85" s="94"/>
      <c r="J85" s="94"/>
      <c r="K85" s="94"/>
      <c r="L85" s="94"/>
      <c r="M85" s="94"/>
      <c r="N85" s="94"/>
      <c r="O85" s="94"/>
      <c r="P85" s="94"/>
      <c r="Q85" s="94"/>
      <c r="R85" s="98"/>
    </row>
    <row r="86" spans="2:19">
      <c r="B86" s="97"/>
      <c r="C86" s="94" t="s">
        <v>136</v>
      </c>
      <c r="D86" s="94"/>
      <c r="E86" s="94"/>
      <c r="F86" s="94"/>
      <c r="G86" s="94"/>
      <c r="H86" s="94"/>
      <c r="I86" s="94"/>
      <c r="J86" s="94" t="str" cm="1">
        <f t="array" ref="J86">_xlfn.TOROW(C87)</f>
        <v>0x00 0x07 0x0E 0x09 0x1C 0x1B 0x12 0x15 0x38 0x3F 0x36 0x31 0x24 0x23 0x2A 0x2D
0x70 0x77 0x7E 0x79 0x6C 0x6B 0x62 0x65 0x48 0x4F 0x46 0x41 0x54 0x53 0x5A 0x5D
0xE0 0xE7 0xEE 0xE9 0xFC 0xFB 0xF2 0xF5 0xD8 0xDF 0xD6 0xD1 0xC4 0xC3 0xCA 0xCD
0x90 0x97 0x9E 0x99 0x8C 0x8B 0x82 0x85 0xA8 0xAF 0xA6 0xA1 0xB4 0xB3 0xBA 0xBD</v>
      </c>
      <c r="K86" s="94"/>
      <c r="L86" s="94"/>
      <c r="M86" s="94"/>
      <c r="N86" s="94"/>
      <c r="O86" s="94"/>
      <c r="P86" s="94"/>
      <c r="Q86" s="94"/>
      <c r="R86" s="98"/>
    </row>
    <row r="87" spans="2:19" ht="84.6" customHeight="1">
      <c r="B87" s="97"/>
      <c r="C87" s="164" t="s">
        <v>137</v>
      </c>
      <c r="D87" s="164"/>
      <c r="E87" s="164"/>
      <c r="F87" s="164"/>
      <c r="G87" s="164"/>
      <c r="H87" s="164"/>
      <c r="I87" s="94"/>
      <c r="J87" s="94"/>
      <c r="K87" s="94"/>
      <c r="L87" s="94"/>
      <c r="M87" s="94"/>
      <c r="N87" s="94"/>
      <c r="O87" s="94"/>
      <c r="P87" s="94"/>
      <c r="Q87" s="94"/>
      <c r="R87" s="98"/>
    </row>
    <row r="88" spans="2:19">
      <c r="B88" s="99"/>
      <c r="C88" s="100"/>
      <c r="D88" s="101"/>
      <c r="E88" s="101"/>
      <c r="F88" s="101"/>
      <c r="G88" s="101"/>
      <c r="H88" s="101"/>
      <c r="I88" s="101"/>
      <c r="J88" s="101"/>
      <c r="K88" s="101"/>
      <c r="L88" s="101"/>
      <c r="M88" s="101"/>
      <c r="N88" s="101"/>
      <c r="O88" s="101"/>
      <c r="P88" s="101"/>
      <c r="Q88" s="101"/>
      <c r="R88" s="102"/>
    </row>
    <row r="89" spans="2:19">
      <c r="C89" s="93"/>
    </row>
    <row r="90" spans="2:19">
      <c r="C90" s="93"/>
    </row>
  </sheetData>
  <mergeCells count="4">
    <mergeCell ref="C87:H87"/>
    <mergeCell ref="C32:G32"/>
    <mergeCell ref="C33:G33"/>
    <mergeCell ref="C34:G34"/>
  </mergeCells>
  <phoneticPr fontId="2"/>
  <hyperlinks>
    <hyperlink ref="E4" r:id="rId1" xr:uid="{DC56DDB7-1FF1-4F23-B6EF-0B7260FCB5E7}"/>
    <hyperlink ref="F37" r:id="rId2" xr:uid="{4B01BC08-D1B4-4308-A872-FF0213261AF4}"/>
    <hyperlink ref="D8" r:id="rId3" xr:uid="{515667A4-4870-4F92-BC7F-8A131761DBA8}"/>
    <hyperlink ref="C63" r:id="rId4" xr:uid="{C177F48C-E20C-4C0D-A059-0C687ED8A419}"/>
    <hyperlink ref="G29" r:id="rId5" xr:uid="{E33B0DBB-A387-4F2F-8711-38F4D7720B43}"/>
    <hyperlink ref="C32" location="'CRC8_(manual_calculation_1)'!A1" display="'CRC8_(manual_calculation_1)'!A1" xr:uid="{69D41DF9-8969-49EF-BEF1-40E44E78975C}"/>
    <hyperlink ref="C33" location="'CRC8_(manual_calculation_2)'!A1" display="'CRC8_(manual_calculation_2)'!A1" xr:uid="{0EE8F161-6ECA-4E65-BA60-1634B2898167}"/>
    <hyperlink ref="C34" location="'XOR_A&amp;B'!A1" display="'XOR_A&amp;B'!A1" xr:uid="{41B013A6-3C02-45E7-918F-31E4DF441F49}"/>
  </hyperlinks>
  <pageMargins left="0.7" right="0.7" top="0.75" bottom="0.75" header="0.3" footer="0.3"/>
  <pageSetup scale="54" orientation="portrait" r:id="rId6"/>
  <rowBreaks count="1" manualBreakCount="1">
    <brk id="57" max="17" man="1"/>
  </rowBreaks>
  <drawing r:id="rId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9589-F1A7-48FE-A600-6EDF3270269B}">
  <dimension ref="A1:M177"/>
  <sheetViews>
    <sheetView showGridLines="0" zoomScaleNormal="100" workbookViewId="0"/>
  </sheetViews>
  <sheetFormatPr defaultRowHeight="13.8"/>
  <cols>
    <col min="1" max="1" width="4.69921875" customWidth="1"/>
    <col min="2" max="2" width="6.19921875" customWidth="1"/>
  </cols>
  <sheetData>
    <row r="1" spans="1:13" ht="20.399999999999999">
      <c r="A1" s="5" t="s">
        <v>19</v>
      </c>
    </row>
    <row r="3" spans="1:13" ht="22.8">
      <c r="A3" s="104" t="s">
        <v>150</v>
      </c>
      <c r="B3" s="6"/>
      <c r="C3" s="6"/>
      <c r="D3" s="6"/>
      <c r="E3" s="6"/>
    </row>
    <row r="4" spans="1:13">
      <c r="A4" s="6"/>
      <c r="B4" s="10" t="s">
        <v>152</v>
      </c>
      <c r="C4" s="6"/>
      <c r="D4" s="6"/>
      <c r="E4" s="6"/>
    </row>
    <row r="5" spans="1:13">
      <c r="A5" s="6"/>
      <c r="B5" s="1" t="s">
        <v>115</v>
      </c>
      <c r="C5" s="6"/>
      <c r="D5" s="6"/>
      <c r="E5" s="6"/>
    </row>
    <row r="6" spans="1:13">
      <c r="A6" s="6"/>
      <c r="B6" s="1"/>
      <c r="D6" s="6"/>
      <c r="E6" s="6"/>
    </row>
    <row r="7" spans="1:13">
      <c r="A7" s="6"/>
      <c r="B7" s="1"/>
      <c r="C7" s="66" t="s">
        <v>123</v>
      </c>
      <c r="D7" s="6"/>
      <c r="E7" s="6"/>
    </row>
    <row r="8" spans="1:13">
      <c r="A8" s="6"/>
      <c r="B8" s="1"/>
      <c r="C8" s="1" t="s">
        <v>27</v>
      </c>
      <c r="D8" s="6"/>
      <c r="E8" s="6"/>
    </row>
    <row r="9" spans="1:13">
      <c r="A9" s="6"/>
      <c r="B9" s="1"/>
      <c r="C9" s="68" t="s">
        <v>116</v>
      </c>
      <c r="D9" s="69"/>
      <c r="E9" s="70"/>
      <c r="F9" s="19"/>
      <c r="G9" s="19"/>
      <c r="H9" s="19"/>
      <c r="I9" s="19"/>
      <c r="J9" s="19"/>
      <c r="K9" s="19"/>
      <c r="L9" s="19"/>
      <c r="M9" s="20"/>
    </row>
    <row r="10" spans="1:13">
      <c r="A10" s="6"/>
      <c r="B10" s="1"/>
      <c r="C10" s="13"/>
      <c r="D10" s="14" t="s">
        <v>118</v>
      </c>
      <c r="E10" s="14"/>
      <c r="F10" s="21"/>
      <c r="G10" s="21"/>
      <c r="H10" s="21"/>
      <c r="I10" s="21"/>
      <c r="J10" s="21"/>
      <c r="K10" s="21"/>
      <c r="L10" s="21"/>
      <c r="M10" s="22"/>
    </row>
    <row r="11" spans="1:13">
      <c r="A11" s="6"/>
      <c r="B11" s="1"/>
      <c r="C11" s="13"/>
      <c r="D11" s="14"/>
      <c r="E11" s="67" t="s">
        <v>119</v>
      </c>
      <c r="F11" s="21"/>
      <c r="G11" s="21"/>
      <c r="H11" s="21"/>
      <c r="I11" s="21"/>
      <c r="J11" s="21"/>
      <c r="K11" s="21"/>
      <c r="L11" s="21"/>
      <c r="M11" s="22"/>
    </row>
    <row r="12" spans="1:13">
      <c r="A12" s="6"/>
      <c r="B12" s="1"/>
      <c r="C12" s="16"/>
      <c r="D12" s="23"/>
      <c r="E12" s="23"/>
      <c r="F12" s="23"/>
      <c r="G12" s="23"/>
      <c r="H12" s="23"/>
      <c r="I12" s="23"/>
      <c r="J12" s="23"/>
      <c r="K12" s="23"/>
      <c r="L12" s="23"/>
      <c r="M12" s="24"/>
    </row>
    <row r="13" spans="1:13">
      <c r="A13" s="6"/>
      <c r="B13" s="6"/>
      <c r="C13" s="6"/>
      <c r="D13" s="6"/>
      <c r="E13" s="6"/>
    </row>
    <row r="14" spans="1:13">
      <c r="A14" s="6"/>
      <c r="B14" s="7" t="s">
        <v>6</v>
      </c>
      <c r="C14" s="6"/>
      <c r="D14" s="6"/>
      <c r="E14" s="6"/>
    </row>
    <row r="15" spans="1:13">
      <c r="A15" s="6"/>
      <c r="B15" s="10" t="s">
        <v>120</v>
      </c>
      <c r="C15" s="6"/>
      <c r="D15" s="6"/>
      <c r="E15" s="6"/>
    </row>
    <row r="16" spans="1:13">
      <c r="A16" s="6"/>
      <c r="B16" s="6"/>
      <c r="C16" s="6"/>
      <c r="D16" s="6"/>
      <c r="E16" s="6"/>
    </row>
    <row r="17" spans="1:5">
      <c r="A17" s="6"/>
      <c r="B17" s="7" t="s">
        <v>28</v>
      </c>
      <c r="C17" s="6"/>
      <c r="D17" s="6"/>
      <c r="E17" s="6"/>
    </row>
    <row r="18" spans="1:5">
      <c r="A18" s="6"/>
      <c r="B18" s="10" t="s">
        <v>182</v>
      </c>
      <c r="C18" s="6"/>
      <c r="D18" s="6"/>
      <c r="E18" s="6"/>
    </row>
    <row r="19" spans="1:5">
      <c r="A19" s="6"/>
      <c r="B19" s="10" t="s">
        <v>183</v>
      </c>
      <c r="C19" s="6"/>
      <c r="D19" s="6"/>
      <c r="E19" s="6"/>
    </row>
    <row r="20" spans="1:5">
      <c r="A20" s="6"/>
      <c r="B20" s="6" t="s">
        <v>7</v>
      </c>
      <c r="C20" s="6"/>
      <c r="D20" s="6"/>
      <c r="E20" s="6"/>
    </row>
    <row r="21" spans="1:5">
      <c r="A21" s="6"/>
      <c r="B21" s="1" t="s">
        <v>184</v>
      </c>
      <c r="C21" s="6"/>
      <c r="D21" s="6"/>
      <c r="E21" s="6"/>
    </row>
    <row r="22" spans="1:5">
      <c r="A22" s="6"/>
      <c r="B22" s="1"/>
      <c r="C22" s="6"/>
      <c r="D22" s="6"/>
      <c r="E22" s="6"/>
    </row>
    <row r="23" spans="1:5">
      <c r="A23" s="6"/>
      <c r="B23" s="1"/>
      <c r="C23" s="2" t="s">
        <v>113</v>
      </c>
      <c r="D23" s="6"/>
      <c r="E23" s="6"/>
    </row>
    <row r="24" spans="1:5">
      <c r="A24" s="6"/>
      <c r="B24" s="1"/>
      <c r="C24" s="2"/>
      <c r="D24" s="6"/>
      <c r="E24" s="6"/>
    </row>
    <row r="25" spans="1:5">
      <c r="A25" s="6"/>
      <c r="B25" s="1" t="s">
        <v>158</v>
      </c>
      <c r="C25" s="2"/>
      <c r="D25" s="6"/>
      <c r="E25" s="6"/>
    </row>
    <row r="26" spans="1:5">
      <c r="A26" s="6"/>
      <c r="B26" s="1"/>
      <c r="C26" s="6"/>
      <c r="D26" s="6"/>
      <c r="E26" s="6"/>
    </row>
    <row r="27" spans="1:5">
      <c r="A27" s="6"/>
      <c r="B27" s="6" t="s">
        <v>8</v>
      </c>
      <c r="C27" s="6"/>
      <c r="D27" s="6"/>
      <c r="E27" s="6"/>
    </row>
    <row r="28" spans="1:5">
      <c r="A28" s="6"/>
      <c r="B28" s="6" t="s">
        <v>9</v>
      </c>
      <c r="C28" s="6"/>
      <c r="D28" s="6"/>
      <c r="E28" s="6"/>
    </row>
    <row r="29" spans="1:5">
      <c r="A29" s="6"/>
      <c r="B29" s="6"/>
      <c r="C29" s="1" t="s">
        <v>21</v>
      </c>
      <c r="D29" s="6"/>
      <c r="E29" s="6"/>
    </row>
    <row r="30" spans="1:5" ht="14.4">
      <c r="A30" s="6"/>
      <c r="B30" s="6"/>
      <c r="C30" s="4" t="s">
        <v>1</v>
      </c>
      <c r="D30" s="6"/>
      <c r="E30" s="6"/>
    </row>
    <row r="31" spans="1:5">
      <c r="A31" s="6"/>
      <c r="B31" s="6"/>
      <c r="C31" s="6"/>
      <c r="D31" s="6"/>
      <c r="E31" s="6"/>
    </row>
    <row r="32" spans="1:5">
      <c r="A32" s="6"/>
      <c r="B32" s="6" t="s">
        <v>10</v>
      </c>
      <c r="C32" s="6"/>
      <c r="D32" s="6"/>
      <c r="E32" s="6"/>
    </row>
    <row r="33" spans="1:10">
      <c r="A33" s="6"/>
      <c r="B33" s="6" t="s">
        <v>9</v>
      </c>
      <c r="C33" s="6"/>
      <c r="D33" s="6"/>
      <c r="E33" s="6"/>
    </row>
    <row r="34" spans="1:10">
      <c r="A34" s="6"/>
      <c r="B34" s="6"/>
      <c r="C34" s="1" t="s">
        <v>21</v>
      </c>
      <c r="D34" s="6"/>
      <c r="E34" s="6"/>
    </row>
    <row r="35" spans="1:10" ht="14.4">
      <c r="A35" s="6"/>
      <c r="B35" s="6"/>
      <c r="C35" s="4" t="s">
        <v>2</v>
      </c>
      <c r="D35" s="6"/>
      <c r="E35" s="6"/>
    </row>
    <row r="36" spans="1:10">
      <c r="A36" s="6"/>
      <c r="B36" s="6"/>
      <c r="C36" s="6"/>
      <c r="D36" s="6"/>
      <c r="E36" s="6"/>
    </row>
    <row r="37" spans="1:10">
      <c r="A37" s="6"/>
      <c r="B37" s="7" t="s">
        <v>11</v>
      </c>
      <c r="C37" s="6"/>
      <c r="D37" s="6"/>
      <c r="E37" s="6"/>
      <c r="J37" s="3"/>
    </row>
    <row r="38" spans="1:10">
      <c r="A38" s="6"/>
      <c r="B38" s="6"/>
      <c r="C38" s="10" t="s">
        <v>96</v>
      </c>
      <c r="D38" s="6"/>
      <c r="E38" s="6"/>
      <c r="J38" s="1"/>
    </row>
    <row r="39" spans="1:10">
      <c r="A39" s="6"/>
      <c r="B39" s="6"/>
      <c r="C39" s="6" t="s">
        <v>12</v>
      </c>
      <c r="D39" s="6"/>
      <c r="E39" s="9" t="s">
        <v>0</v>
      </c>
    </row>
    <row r="40" spans="1:10">
      <c r="A40" s="6"/>
      <c r="B40" s="6"/>
      <c r="C40" s="6"/>
      <c r="D40" s="10" t="s">
        <v>185</v>
      </c>
      <c r="E40" s="6"/>
      <c r="J40" s="3"/>
    </row>
    <row r="41" spans="1:10">
      <c r="J41" s="1"/>
    </row>
    <row r="42" spans="1:10" ht="20.399999999999999">
      <c r="A42" s="5" t="s">
        <v>13</v>
      </c>
    </row>
    <row r="43" spans="1:10" ht="15">
      <c r="A43" s="103" t="s">
        <v>151</v>
      </c>
    </row>
    <row r="44" spans="1:10">
      <c r="B44" s="7" t="s">
        <v>14</v>
      </c>
      <c r="C44" s="6"/>
    </row>
    <row r="45" spans="1:10">
      <c r="B45" s="6"/>
      <c r="C45" s="6" t="s">
        <v>23</v>
      </c>
    </row>
    <row r="46" spans="1:10">
      <c r="B46" s="6"/>
      <c r="C46" s="6"/>
    </row>
    <row r="47" spans="1:10">
      <c r="B47" s="6"/>
      <c r="C47" s="6"/>
    </row>
    <row r="48" spans="1:10">
      <c r="B48" s="6"/>
      <c r="C48" s="6"/>
    </row>
    <row r="49" spans="2:13">
      <c r="B49" s="6"/>
      <c r="C49" s="6"/>
    </row>
    <row r="50" spans="2:13">
      <c r="B50" s="6"/>
      <c r="C50" s="6"/>
    </row>
    <row r="51" spans="2:13">
      <c r="B51" s="3" t="s">
        <v>114</v>
      </c>
    </row>
    <row r="52" spans="2:13">
      <c r="C52" s="6" t="s">
        <v>16</v>
      </c>
      <c r="D52" s="6"/>
    </row>
    <row r="53" spans="2:13">
      <c r="C53" s="6"/>
      <c r="D53" s="6"/>
    </row>
    <row r="54" spans="2:13">
      <c r="C54" s="1" t="s">
        <v>26</v>
      </c>
      <c r="D54" s="6"/>
    </row>
    <row r="55" spans="2:13">
      <c r="C55" s="1" t="s">
        <v>27</v>
      </c>
      <c r="D55" s="6"/>
    </row>
    <row r="56" spans="2:13">
      <c r="C56" s="1" t="s">
        <v>117</v>
      </c>
      <c r="D56" s="6"/>
    </row>
    <row r="57" spans="2:13">
      <c r="C57" s="68" t="s">
        <v>116</v>
      </c>
      <c r="D57" s="69"/>
      <c r="E57" s="70"/>
      <c r="F57" s="19"/>
      <c r="G57" s="19"/>
      <c r="H57" s="19"/>
      <c r="I57" s="19"/>
      <c r="J57" s="19"/>
      <c r="K57" s="19"/>
      <c r="L57" s="19"/>
      <c r="M57" s="20"/>
    </row>
    <row r="58" spans="2:13">
      <c r="C58" s="13"/>
      <c r="D58" s="14" t="s">
        <v>24</v>
      </c>
      <c r="E58" s="14"/>
      <c r="F58" s="21"/>
      <c r="G58" s="21"/>
      <c r="H58" s="21"/>
      <c r="I58" s="21"/>
      <c r="J58" s="21"/>
      <c r="K58" s="21"/>
      <c r="L58" s="21"/>
      <c r="M58" s="22"/>
    </row>
    <row r="59" spans="2:13">
      <c r="C59" s="13"/>
      <c r="D59" s="14"/>
      <c r="E59" s="14" t="s">
        <v>17</v>
      </c>
      <c r="F59" s="21"/>
      <c r="G59" s="21"/>
      <c r="H59" s="21"/>
      <c r="I59" s="21"/>
      <c r="J59" s="21"/>
      <c r="K59" s="21"/>
      <c r="L59" s="21"/>
      <c r="M59" s="22"/>
    </row>
    <row r="60" spans="2:13">
      <c r="C60" s="16"/>
      <c r="D60" s="23"/>
      <c r="E60" s="23"/>
      <c r="F60" s="23"/>
      <c r="G60" s="23"/>
      <c r="H60" s="23"/>
      <c r="I60" s="23"/>
      <c r="J60" s="23"/>
      <c r="K60" s="23"/>
      <c r="L60" s="23"/>
      <c r="M60" s="24"/>
    </row>
    <row r="62" spans="2:13">
      <c r="B62" s="7" t="s">
        <v>18</v>
      </c>
    </row>
    <row r="159" spans="1:4" ht="15">
      <c r="A159" s="103" t="s">
        <v>154</v>
      </c>
    </row>
    <row r="160" spans="1:4">
      <c r="B160" s="7" t="s">
        <v>14</v>
      </c>
      <c r="C160" s="6"/>
      <c r="D160" s="6"/>
    </row>
    <row r="161" spans="2:4">
      <c r="B161" s="6"/>
      <c r="C161" s="6" t="s">
        <v>155</v>
      </c>
      <c r="D161" s="6"/>
    </row>
    <row r="162" spans="2:4">
      <c r="B162" s="6"/>
      <c r="C162" s="6"/>
      <c r="D162" s="6"/>
    </row>
    <row r="163" spans="2:4">
      <c r="B163" s="6"/>
      <c r="C163" s="6"/>
      <c r="D163" s="6"/>
    </row>
    <row r="164" spans="2:4">
      <c r="B164" s="6"/>
      <c r="C164" s="6"/>
      <c r="D164" s="6"/>
    </row>
    <row r="165" spans="2:4">
      <c r="B165" s="6"/>
      <c r="C165" s="6"/>
      <c r="D165" s="6"/>
    </row>
    <row r="166" spans="2:4">
      <c r="B166" s="7" t="s">
        <v>15</v>
      </c>
      <c r="C166" s="6"/>
      <c r="D166" s="6"/>
    </row>
    <row r="167" spans="2:4">
      <c r="B167" s="7"/>
      <c r="C167" s="1" t="s">
        <v>157</v>
      </c>
      <c r="D167" s="6"/>
    </row>
    <row r="169" spans="2:4">
      <c r="B169" s="3" t="s">
        <v>147</v>
      </c>
    </row>
    <row r="170" spans="2:4">
      <c r="C170" s="10" t="s">
        <v>186</v>
      </c>
    </row>
    <row r="171" spans="2:4">
      <c r="C171" s="1" t="s">
        <v>149</v>
      </c>
    </row>
    <row r="172" spans="2:4">
      <c r="C172" s="10"/>
    </row>
    <row r="173" spans="2:4">
      <c r="C173" s="10"/>
    </row>
    <row r="174" spans="2:4">
      <c r="C174" s="10"/>
    </row>
    <row r="175" spans="2:4">
      <c r="C175" s="10"/>
    </row>
    <row r="176" spans="2:4">
      <c r="C176" s="1" t="s">
        <v>148</v>
      </c>
    </row>
    <row r="177" spans="4:4">
      <c r="D177" s="2" t="s">
        <v>113</v>
      </c>
    </row>
  </sheetData>
  <phoneticPr fontId="2"/>
  <hyperlinks>
    <hyperlink ref="E39" r:id="rId1" xr:uid="{71686E9C-034E-4B4C-B95E-69F3FEC2B01A}"/>
    <hyperlink ref="C23" location="生成多項式とLook_up_tableについて" display="Link to ”生成多項式とLook up tableについて：”" xr:uid="{B05B3E20-9C89-42EC-A782-AD6011158605}"/>
    <hyperlink ref="D177" location="生成多項式とLook_up_tableについて" display="Link to ”生成多項式とLook up tableについて：”" xr:uid="{FF07270D-A447-4589-A7E1-C4E1705200E6}"/>
  </hyperlinks>
  <pageMargins left="0.7" right="0.7" top="0.75" bottom="0.75" header="0.3" footer="0.3"/>
  <pageSetup scale="53" orientation="portrait" r:id="rId2"/>
  <drawing r:id="rId3"/>
  <legacyDrawing r:id="rId4"/>
  <oleObjects>
    <mc:AlternateContent xmlns:mc="http://schemas.openxmlformats.org/markup-compatibility/2006">
      <mc:Choice Requires="x14">
        <oleObject progId="パッケージャー シェル オブジェクト" dvAspect="DVASPECT_ICON" shapeId="1025" r:id="rId5">
          <objectPr defaultSize="0" r:id="rId6">
            <anchor moveWithCells="1">
              <from>
                <xdr:col>2</xdr:col>
                <xdr:colOff>327660</xdr:colOff>
                <xdr:row>45</xdr:row>
                <xdr:rowOff>137160</xdr:rowOff>
              </from>
              <to>
                <xdr:col>5</xdr:col>
                <xdr:colOff>45720</xdr:colOff>
                <xdr:row>48</xdr:row>
                <xdr:rowOff>129540</xdr:rowOff>
              </to>
            </anchor>
          </objectPr>
        </oleObject>
      </mc:Choice>
      <mc:Fallback>
        <oleObject progId="パッケージャー シェル オブジェクト" dvAspect="DVASPECT_ICON" shapeId="1025" r:id="rId5"/>
      </mc:Fallback>
    </mc:AlternateContent>
    <mc:AlternateContent xmlns:mc="http://schemas.openxmlformats.org/markup-compatibility/2006">
      <mc:Choice Requires="x14">
        <oleObject progId="パッケージャー シェル オブジェクト" dvAspect="DVASPECT_ICON" shapeId="1027" r:id="rId7">
          <objectPr defaultSize="0" r:id="rId8">
            <anchor moveWithCells="1">
              <from>
                <xdr:col>2</xdr:col>
                <xdr:colOff>327660</xdr:colOff>
                <xdr:row>161</xdr:row>
                <xdr:rowOff>91440</xdr:rowOff>
              </from>
              <to>
                <xdr:col>6</xdr:col>
                <xdr:colOff>548640</xdr:colOff>
                <xdr:row>164</xdr:row>
                <xdr:rowOff>83820</xdr:rowOff>
              </to>
            </anchor>
          </objectPr>
        </oleObject>
      </mc:Choice>
      <mc:Fallback>
        <oleObject progId="パッケージャー シェル オブジェクト" dvAspect="DVASPECT_ICON" shapeId="1027" r:id="rId7"/>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CB52-77A7-4572-927F-85F17EC57D75}">
  <dimension ref="A1:R177"/>
  <sheetViews>
    <sheetView showGridLines="0" zoomScaleNormal="100" zoomScaleSheetLayoutView="25" workbookViewId="0"/>
  </sheetViews>
  <sheetFormatPr defaultRowHeight="13.8"/>
  <cols>
    <col min="1" max="1" width="4.69921875" customWidth="1"/>
    <col min="2" max="2" width="5.19921875" customWidth="1"/>
  </cols>
  <sheetData>
    <row r="1" spans="1:18" ht="20.399999999999999">
      <c r="A1" s="5" t="s">
        <v>5</v>
      </c>
      <c r="B1" s="6"/>
      <c r="C1" s="6"/>
      <c r="D1" s="6"/>
      <c r="E1" s="6"/>
      <c r="F1" s="6"/>
      <c r="G1" s="6"/>
      <c r="H1" s="6"/>
      <c r="I1" s="6"/>
      <c r="J1" s="6"/>
      <c r="K1" s="6"/>
      <c r="L1" s="6"/>
      <c r="M1" s="6"/>
      <c r="N1" s="6"/>
      <c r="O1" s="6"/>
      <c r="P1" s="6"/>
      <c r="Q1" s="6"/>
      <c r="R1" s="6"/>
    </row>
    <row r="2" spans="1:18">
      <c r="A2" s="6"/>
      <c r="B2" s="6"/>
      <c r="C2" s="6"/>
      <c r="D2" s="6"/>
      <c r="E2" s="6"/>
      <c r="F2" s="6"/>
      <c r="G2" s="6"/>
      <c r="H2" s="6"/>
      <c r="I2" s="6"/>
      <c r="J2" s="6"/>
      <c r="K2" s="6"/>
      <c r="L2" s="6"/>
      <c r="M2" s="6"/>
      <c r="N2" s="6"/>
      <c r="O2" s="6"/>
      <c r="P2" s="6"/>
      <c r="Q2" s="6"/>
      <c r="R2" s="6"/>
    </row>
    <row r="3" spans="1:18" ht="22.8">
      <c r="A3" s="104" t="s">
        <v>150</v>
      </c>
      <c r="B3" s="6"/>
      <c r="C3" s="6"/>
      <c r="D3" s="6"/>
      <c r="E3" s="6"/>
      <c r="F3" s="6"/>
      <c r="G3" s="6"/>
      <c r="H3" s="6"/>
      <c r="I3" s="6"/>
      <c r="J3" s="6"/>
      <c r="K3" s="6"/>
      <c r="L3" s="6"/>
      <c r="M3" s="6"/>
      <c r="N3" s="6"/>
      <c r="O3" s="6"/>
      <c r="P3" s="6"/>
      <c r="Q3" s="6"/>
      <c r="R3" s="6"/>
    </row>
    <row r="4" spans="1:18">
      <c r="A4" s="6"/>
      <c r="B4" s="10" t="s">
        <v>153</v>
      </c>
      <c r="C4" s="6"/>
      <c r="D4" s="6"/>
      <c r="E4" s="6"/>
      <c r="F4" s="6"/>
      <c r="G4" s="6"/>
      <c r="H4" s="6"/>
      <c r="I4" s="6"/>
      <c r="J4" s="6"/>
      <c r="K4" s="6"/>
      <c r="L4" s="6"/>
      <c r="M4" s="6"/>
      <c r="N4" s="6"/>
      <c r="O4" s="6"/>
      <c r="P4" s="6"/>
      <c r="Q4" s="6"/>
      <c r="R4" s="6"/>
    </row>
    <row r="5" spans="1:18">
      <c r="A5" s="6"/>
      <c r="B5" s="1" t="s">
        <v>115</v>
      </c>
      <c r="C5" s="6"/>
      <c r="D5" s="6"/>
      <c r="E5" s="6"/>
      <c r="N5" s="6"/>
      <c r="O5" s="6"/>
      <c r="P5" s="6"/>
      <c r="Q5" s="6"/>
      <c r="R5" s="6"/>
    </row>
    <row r="6" spans="1:18">
      <c r="A6" s="6"/>
      <c r="B6" s="1"/>
      <c r="D6" s="6"/>
      <c r="E6" s="6"/>
      <c r="N6" s="6"/>
      <c r="O6" s="6"/>
      <c r="P6" s="6"/>
      <c r="Q6" s="6"/>
      <c r="R6" s="6"/>
    </row>
    <row r="7" spans="1:18">
      <c r="A7" s="6"/>
      <c r="B7" s="1"/>
      <c r="C7" s="66" t="s">
        <v>122</v>
      </c>
      <c r="D7" s="6"/>
      <c r="E7" s="6"/>
      <c r="N7" s="6"/>
      <c r="O7" s="6"/>
      <c r="P7" s="6"/>
      <c r="Q7" s="6"/>
      <c r="R7" s="6"/>
    </row>
    <row r="8" spans="1:18">
      <c r="A8" s="6"/>
      <c r="B8" s="1"/>
      <c r="C8" s="1" t="s">
        <v>27</v>
      </c>
      <c r="D8" s="6"/>
      <c r="E8" s="6"/>
      <c r="N8" s="6"/>
      <c r="O8" s="6"/>
      <c r="P8" s="6"/>
      <c r="Q8" s="6"/>
      <c r="R8" s="6"/>
    </row>
    <row r="9" spans="1:18">
      <c r="A9" s="6"/>
      <c r="B9" s="1"/>
      <c r="C9" s="68" t="s">
        <v>116</v>
      </c>
      <c r="D9" s="69"/>
      <c r="E9" s="70"/>
      <c r="F9" s="19"/>
      <c r="G9" s="19"/>
      <c r="H9" s="19"/>
      <c r="I9" s="19"/>
      <c r="J9" s="19"/>
      <c r="K9" s="19"/>
      <c r="L9" s="19"/>
      <c r="M9" s="20"/>
      <c r="N9" s="6"/>
      <c r="O9" s="6"/>
      <c r="P9" s="6"/>
      <c r="Q9" s="6"/>
      <c r="R9" s="6"/>
    </row>
    <row r="10" spans="1:18">
      <c r="A10" s="6"/>
      <c r="B10" s="1"/>
      <c r="C10" s="13"/>
      <c r="D10" s="14" t="s">
        <v>121</v>
      </c>
      <c r="E10" s="14"/>
      <c r="F10" s="21"/>
      <c r="G10" s="21"/>
      <c r="H10" s="21"/>
      <c r="I10" s="21"/>
      <c r="J10" s="21"/>
      <c r="K10" s="21"/>
      <c r="L10" s="21"/>
      <c r="M10" s="22"/>
      <c r="N10" s="6"/>
      <c r="O10" s="6"/>
      <c r="P10" s="6"/>
      <c r="Q10" s="6"/>
      <c r="R10" s="6"/>
    </row>
    <row r="11" spans="1:18">
      <c r="A11" s="6"/>
      <c r="B11" s="1"/>
      <c r="C11" s="13"/>
      <c r="D11" s="14"/>
      <c r="E11" s="67" t="s">
        <v>119</v>
      </c>
      <c r="F11" s="21"/>
      <c r="G11" s="21"/>
      <c r="H11" s="21"/>
      <c r="I11" s="21"/>
      <c r="J11" s="21"/>
      <c r="K11" s="21"/>
      <c r="L11" s="21"/>
      <c r="M11" s="22"/>
      <c r="N11" s="6"/>
      <c r="O11" s="6"/>
      <c r="P11" s="6"/>
      <c r="Q11" s="6"/>
      <c r="R11" s="6"/>
    </row>
    <row r="12" spans="1:18">
      <c r="A12" s="6"/>
      <c r="B12" s="1"/>
      <c r="C12" s="16"/>
      <c r="D12" s="23"/>
      <c r="E12" s="23"/>
      <c r="F12" s="23"/>
      <c r="G12" s="23"/>
      <c r="H12" s="23"/>
      <c r="I12" s="23"/>
      <c r="J12" s="23"/>
      <c r="K12" s="23"/>
      <c r="L12" s="23"/>
      <c r="M12" s="24"/>
      <c r="N12" s="6"/>
      <c r="O12" s="6"/>
      <c r="P12" s="6"/>
      <c r="Q12" s="6"/>
      <c r="R12" s="6"/>
    </row>
    <row r="13" spans="1:18">
      <c r="A13" s="6"/>
      <c r="B13" s="6"/>
      <c r="C13" s="6"/>
      <c r="D13" s="6"/>
      <c r="E13" s="6"/>
      <c r="N13" s="6"/>
      <c r="O13" s="6"/>
      <c r="P13" s="6"/>
      <c r="Q13" s="6"/>
      <c r="R13" s="6"/>
    </row>
    <row r="14" spans="1:18">
      <c r="A14" s="6"/>
      <c r="B14" s="7" t="s">
        <v>6</v>
      </c>
      <c r="C14" s="6"/>
      <c r="D14" s="6"/>
      <c r="E14" s="6"/>
      <c r="F14" s="6"/>
      <c r="G14" s="6"/>
      <c r="H14" s="6"/>
      <c r="I14" s="6"/>
      <c r="J14" s="6"/>
      <c r="K14" s="6"/>
      <c r="L14" s="6"/>
      <c r="M14" s="6"/>
      <c r="N14" s="6"/>
      <c r="O14" s="6"/>
      <c r="P14" s="6"/>
      <c r="Q14" s="6"/>
      <c r="R14" s="6"/>
    </row>
    <row r="15" spans="1:18">
      <c r="A15" s="6"/>
      <c r="B15" s="10" t="s">
        <v>120</v>
      </c>
      <c r="C15" s="6"/>
      <c r="D15" s="6"/>
      <c r="E15" s="6"/>
      <c r="F15" s="6"/>
      <c r="G15" s="6"/>
      <c r="H15" s="6"/>
      <c r="I15" s="6"/>
      <c r="J15" s="6"/>
      <c r="K15" s="6"/>
      <c r="L15" s="6"/>
      <c r="M15" s="6"/>
      <c r="N15" s="6"/>
      <c r="O15" s="6"/>
      <c r="P15" s="6"/>
      <c r="Q15" s="6"/>
      <c r="R15" s="6"/>
    </row>
    <row r="16" spans="1:18">
      <c r="A16" s="6"/>
      <c r="B16" s="6"/>
      <c r="C16" s="6"/>
      <c r="D16" s="6"/>
      <c r="E16" s="6"/>
      <c r="F16" s="6"/>
      <c r="G16" s="6"/>
      <c r="H16" s="6"/>
      <c r="I16" s="6"/>
      <c r="J16" s="6"/>
      <c r="K16" s="6"/>
      <c r="L16" s="6"/>
      <c r="M16" s="6"/>
      <c r="N16" s="6"/>
      <c r="O16" s="6"/>
      <c r="P16" s="6"/>
      <c r="Q16" s="6"/>
      <c r="R16" s="6"/>
    </row>
    <row r="17" spans="1:18">
      <c r="A17" s="6"/>
      <c r="B17" s="7" t="s">
        <v>28</v>
      </c>
      <c r="C17" s="6"/>
      <c r="D17" s="6"/>
      <c r="E17" s="6"/>
      <c r="F17" s="6"/>
      <c r="G17" s="6"/>
      <c r="H17" s="6"/>
      <c r="I17" s="6"/>
      <c r="J17" s="6"/>
      <c r="K17" s="6"/>
      <c r="L17" s="6"/>
      <c r="M17" s="6"/>
      <c r="N17" s="6"/>
      <c r="O17" s="6"/>
      <c r="P17" s="6"/>
      <c r="Q17" s="6"/>
      <c r="R17" s="6"/>
    </row>
    <row r="18" spans="1:18">
      <c r="A18" s="6"/>
      <c r="B18" s="6" t="s">
        <v>187</v>
      </c>
      <c r="C18" s="6"/>
      <c r="D18" s="6"/>
      <c r="E18" s="6"/>
      <c r="F18" s="6"/>
      <c r="G18" s="6"/>
      <c r="H18" s="6"/>
      <c r="I18" s="6"/>
      <c r="J18" s="6"/>
      <c r="K18" s="6"/>
      <c r="L18" s="6"/>
      <c r="M18" s="6"/>
      <c r="N18" s="6"/>
      <c r="O18" s="6"/>
      <c r="P18" s="6"/>
      <c r="Q18" s="6"/>
      <c r="R18" s="6"/>
    </row>
    <row r="19" spans="1:18">
      <c r="A19" s="6"/>
      <c r="B19" s="10" t="s">
        <v>188</v>
      </c>
      <c r="C19" s="6"/>
      <c r="D19" s="6"/>
      <c r="E19" s="6"/>
      <c r="F19" s="6"/>
      <c r="G19" s="6"/>
      <c r="H19" s="6"/>
      <c r="I19" s="6"/>
      <c r="J19" s="6"/>
      <c r="K19" s="6"/>
      <c r="L19" s="6"/>
      <c r="M19" s="6"/>
      <c r="N19" s="6"/>
      <c r="O19" s="6"/>
      <c r="P19" s="6"/>
      <c r="Q19" s="6"/>
      <c r="R19" s="6"/>
    </row>
    <row r="20" spans="1:18">
      <c r="A20" s="6"/>
      <c r="B20" s="10" t="s">
        <v>20</v>
      </c>
      <c r="C20" s="6"/>
      <c r="D20" s="6"/>
      <c r="E20" s="6"/>
      <c r="F20" s="6"/>
      <c r="G20" s="6"/>
      <c r="H20" s="6"/>
      <c r="I20" s="6"/>
      <c r="J20" s="6"/>
      <c r="K20" s="6"/>
      <c r="L20" s="6"/>
      <c r="M20" s="6"/>
      <c r="N20" s="6"/>
      <c r="O20" s="6"/>
      <c r="P20" s="6"/>
      <c r="Q20" s="6"/>
      <c r="R20" s="6"/>
    </row>
    <row r="21" spans="1:18">
      <c r="A21" s="6"/>
      <c r="B21" s="1" t="s">
        <v>184</v>
      </c>
      <c r="C21" s="6"/>
      <c r="D21" s="6"/>
      <c r="E21" s="6"/>
      <c r="F21" s="6"/>
      <c r="G21" s="6"/>
      <c r="H21" s="6"/>
      <c r="I21" s="6"/>
      <c r="J21" s="6"/>
      <c r="K21" s="6"/>
      <c r="L21" s="6"/>
      <c r="M21" s="6"/>
      <c r="N21" s="6"/>
      <c r="O21" s="6"/>
      <c r="P21" s="6"/>
      <c r="Q21" s="6"/>
      <c r="R21" s="6"/>
    </row>
    <row r="22" spans="1:18">
      <c r="A22" s="6"/>
      <c r="B22" s="1"/>
      <c r="C22" s="6"/>
      <c r="D22" s="6"/>
      <c r="E22" s="6"/>
      <c r="F22" s="6"/>
      <c r="G22" s="6"/>
      <c r="H22" s="6"/>
      <c r="I22" s="6"/>
      <c r="J22" s="6"/>
      <c r="K22" s="6"/>
      <c r="L22" s="6"/>
      <c r="M22" s="6"/>
      <c r="N22" s="6"/>
      <c r="O22" s="6"/>
      <c r="P22" s="6"/>
      <c r="Q22" s="6"/>
      <c r="R22" s="6"/>
    </row>
    <row r="23" spans="1:18">
      <c r="A23" s="6"/>
      <c r="B23" s="1"/>
      <c r="C23" s="2" t="s">
        <v>113</v>
      </c>
      <c r="D23" s="6"/>
      <c r="E23" s="6"/>
      <c r="F23" s="6"/>
      <c r="G23" s="6"/>
      <c r="H23" s="6"/>
      <c r="I23" s="6"/>
      <c r="J23" s="6"/>
      <c r="K23" s="6"/>
      <c r="L23" s="6"/>
      <c r="M23" s="6"/>
      <c r="N23" s="6"/>
      <c r="O23" s="6"/>
      <c r="P23" s="6"/>
      <c r="Q23" s="6"/>
      <c r="R23" s="6"/>
    </row>
    <row r="24" spans="1:18">
      <c r="A24" s="6"/>
      <c r="B24" s="1"/>
      <c r="C24" s="2"/>
      <c r="D24" s="6"/>
      <c r="E24" s="6"/>
      <c r="F24" s="6"/>
      <c r="G24" s="6"/>
      <c r="H24" s="6"/>
      <c r="I24" s="6"/>
      <c r="J24" s="6"/>
      <c r="K24" s="6"/>
      <c r="L24" s="6"/>
      <c r="M24" s="6"/>
      <c r="N24" s="6"/>
      <c r="O24" s="6"/>
      <c r="P24" s="6"/>
      <c r="Q24" s="6"/>
      <c r="R24" s="6"/>
    </row>
    <row r="25" spans="1:18">
      <c r="A25" s="6"/>
      <c r="B25" s="1" t="s">
        <v>159</v>
      </c>
      <c r="C25" s="2"/>
      <c r="D25" s="6"/>
      <c r="E25" s="6"/>
      <c r="F25" s="6"/>
      <c r="G25" s="6"/>
      <c r="H25" s="6"/>
      <c r="I25" s="6"/>
      <c r="J25" s="6"/>
      <c r="K25" s="6"/>
      <c r="L25" s="6"/>
      <c r="M25" s="6"/>
      <c r="N25" s="6"/>
      <c r="O25" s="6"/>
      <c r="P25" s="6"/>
      <c r="Q25" s="6"/>
      <c r="R25" s="6"/>
    </row>
    <row r="26" spans="1:18">
      <c r="A26" s="6"/>
      <c r="B26" s="6"/>
      <c r="C26" s="6"/>
      <c r="D26" s="6"/>
      <c r="E26" s="6"/>
      <c r="F26" s="6"/>
      <c r="G26" s="6"/>
      <c r="H26" s="6"/>
      <c r="I26" s="6"/>
      <c r="J26" s="6"/>
      <c r="K26" s="6"/>
      <c r="L26" s="6"/>
      <c r="M26" s="6"/>
      <c r="N26" s="6"/>
      <c r="O26" s="6"/>
      <c r="P26" s="6"/>
      <c r="Q26" s="6"/>
      <c r="R26" s="6"/>
    </row>
    <row r="27" spans="1:18">
      <c r="A27" s="6"/>
      <c r="B27" s="10" t="s">
        <v>8</v>
      </c>
      <c r="C27" s="6"/>
      <c r="D27" s="6"/>
      <c r="E27" s="6"/>
      <c r="F27" s="6"/>
      <c r="G27" s="6"/>
      <c r="H27" s="6"/>
      <c r="I27" s="6"/>
      <c r="J27" s="6"/>
      <c r="K27" s="6"/>
      <c r="L27" s="6"/>
      <c r="M27" s="6"/>
      <c r="N27" s="6"/>
      <c r="O27" s="6"/>
      <c r="P27" s="6"/>
      <c r="Q27" s="6"/>
      <c r="R27" s="6"/>
    </row>
    <row r="28" spans="1:18">
      <c r="A28" s="6"/>
      <c r="B28" s="6" t="s">
        <v>9</v>
      </c>
      <c r="C28" s="6"/>
      <c r="D28" s="6"/>
      <c r="E28" s="6"/>
      <c r="F28" s="6"/>
      <c r="G28" s="6"/>
      <c r="H28" s="6"/>
      <c r="I28" s="6"/>
      <c r="J28" s="6"/>
      <c r="K28" s="6"/>
      <c r="L28" s="6"/>
      <c r="M28" s="6"/>
      <c r="N28" s="6"/>
      <c r="O28" s="6"/>
      <c r="P28" s="6"/>
      <c r="Q28" s="6"/>
      <c r="R28" s="6"/>
    </row>
    <row r="29" spans="1:18">
      <c r="A29" s="6"/>
      <c r="B29" s="6"/>
      <c r="C29" s="1" t="s">
        <v>21</v>
      </c>
      <c r="D29" s="6"/>
      <c r="E29" s="6"/>
      <c r="F29" s="6"/>
      <c r="G29" s="6"/>
      <c r="H29" s="6"/>
      <c r="I29" s="6"/>
      <c r="J29" s="6"/>
      <c r="K29" s="6"/>
      <c r="L29" s="6"/>
      <c r="M29" s="6"/>
      <c r="N29" s="6"/>
      <c r="O29" s="6"/>
      <c r="P29" s="6"/>
      <c r="Q29" s="6"/>
      <c r="R29" s="6"/>
    </row>
    <row r="30" spans="1:18">
      <c r="A30" s="6"/>
      <c r="B30" s="6"/>
      <c r="C30" s="8" t="s">
        <v>3</v>
      </c>
      <c r="D30" s="6"/>
      <c r="E30" s="6"/>
      <c r="F30" s="6"/>
      <c r="G30" s="6"/>
      <c r="H30" s="6"/>
      <c r="I30" s="6"/>
      <c r="J30" s="6"/>
      <c r="K30" s="6"/>
      <c r="L30" s="6"/>
      <c r="M30" s="6"/>
      <c r="N30" s="6"/>
      <c r="O30" s="6"/>
      <c r="P30" s="6"/>
      <c r="Q30" s="6"/>
      <c r="R30" s="6"/>
    </row>
    <row r="31" spans="1:18">
      <c r="A31" s="6"/>
      <c r="B31" s="6"/>
      <c r="C31" s="6"/>
      <c r="D31" s="6"/>
      <c r="E31" s="6"/>
      <c r="F31" s="6"/>
      <c r="G31" s="6"/>
      <c r="H31" s="6"/>
      <c r="I31" s="6"/>
      <c r="J31" s="6"/>
      <c r="K31" s="6"/>
      <c r="L31" s="6"/>
      <c r="M31" s="6"/>
      <c r="N31" s="6"/>
      <c r="O31" s="6"/>
      <c r="P31" s="6"/>
      <c r="Q31" s="6"/>
      <c r="R31" s="6"/>
    </row>
    <row r="32" spans="1:18">
      <c r="A32" s="6"/>
      <c r="B32" s="6" t="s">
        <v>10</v>
      </c>
      <c r="C32" s="6"/>
      <c r="D32" s="6"/>
      <c r="E32" s="6"/>
      <c r="F32" s="6"/>
      <c r="G32" s="6"/>
      <c r="H32" s="6"/>
      <c r="I32" s="6"/>
      <c r="J32" s="6"/>
      <c r="K32" s="6"/>
      <c r="L32" s="6"/>
      <c r="M32" s="6"/>
      <c r="N32" s="6"/>
      <c r="O32" s="6"/>
      <c r="P32" s="6"/>
      <c r="Q32" s="6"/>
      <c r="R32" s="6"/>
    </row>
    <row r="33" spans="1:18">
      <c r="A33" s="6"/>
      <c r="B33" s="6" t="s">
        <v>9</v>
      </c>
      <c r="C33" s="6"/>
      <c r="D33" s="6"/>
      <c r="E33" s="6"/>
      <c r="F33" s="6"/>
      <c r="G33" s="6"/>
      <c r="H33" s="6"/>
      <c r="I33" s="6"/>
      <c r="J33" s="6"/>
      <c r="K33" s="6"/>
      <c r="L33" s="6"/>
      <c r="M33" s="6"/>
      <c r="N33" s="6"/>
      <c r="O33" s="6"/>
      <c r="P33" s="6"/>
      <c r="Q33" s="6"/>
      <c r="R33" s="6"/>
    </row>
    <row r="34" spans="1:18">
      <c r="A34" s="6"/>
      <c r="B34" s="6"/>
      <c r="C34" s="1" t="s">
        <v>21</v>
      </c>
      <c r="D34" s="6"/>
      <c r="E34" s="6"/>
      <c r="F34" s="6"/>
      <c r="G34" s="6"/>
      <c r="H34" s="6"/>
      <c r="I34" s="6"/>
      <c r="J34" s="6"/>
      <c r="K34" s="6"/>
      <c r="L34" s="6"/>
      <c r="M34" s="6"/>
      <c r="N34" s="6"/>
      <c r="O34" s="6"/>
      <c r="P34" s="6"/>
      <c r="Q34" s="6"/>
      <c r="R34" s="6"/>
    </row>
    <row r="35" spans="1:18">
      <c r="A35" s="6"/>
      <c r="B35" s="6"/>
      <c r="C35" s="8" t="s">
        <v>4</v>
      </c>
      <c r="D35" s="6"/>
      <c r="E35" s="6"/>
      <c r="F35" s="6"/>
      <c r="G35" s="6"/>
      <c r="H35" s="6"/>
      <c r="I35" s="6"/>
      <c r="J35" s="6"/>
      <c r="K35" s="6"/>
      <c r="L35" s="6"/>
      <c r="M35" s="6"/>
      <c r="N35" s="6"/>
      <c r="O35" s="6"/>
      <c r="P35" s="6"/>
      <c r="Q35" s="6"/>
      <c r="R35" s="6"/>
    </row>
    <row r="36" spans="1:18">
      <c r="A36" s="6"/>
      <c r="B36" s="6"/>
      <c r="C36" s="6"/>
      <c r="D36" s="6"/>
      <c r="E36" s="6"/>
      <c r="F36" s="6"/>
      <c r="G36" s="6"/>
      <c r="H36" s="6"/>
      <c r="I36" s="6"/>
      <c r="J36" s="6"/>
      <c r="K36" s="6"/>
      <c r="L36" s="6"/>
      <c r="M36" s="6"/>
      <c r="N36" s="6"/>
      <c r="O36" s="6"/>
      <c r="P36" s="6"/>
      <c r="Q36" s="6"/>
      <c r="R36" s="6"/>
    </row>
    <row r="37" spans="1:18">
      <c r="A37" s="6"/>
      <c r="B37" s="7" t="s">
        <v>11</v>
      </c>
      <c r="C37" s="6"/>
      <c r="D37" s="6"/>
      <c r="E37" s="6"/>
      <c r="F37" s="6"/>
      <c r="G37" s="6"/>
      <c r="H37" s="6"/>
      <c r="I37" s="6"/>
      <c r="J37" s="6"/>
      <c r="K37" s="6"/>
      <c r="L37" s="6"/>
      <c r="M37" s="6"/>
      <c r="N37" s="6"/>
      <c r="O37" s="6"/>
      <c r="P37" s="6"/>
      <c r="Q37" s="6"/>
      <c r="R37" s="6"/>
    </row>
    <row r="38" spans="1:18">
      <c r="A38" s="6"/>
      <c r="B38" s="6"/>
      <c r="C38" s="10" t="s">
        <v>96</v>
      </c>
      <c r="D38" s="6"/>
      <c r="E38" s="6"/>
      <c r="F38" s="6"/>
      <c r="G38" s="6"/>
      <c r="H38" s="6"/>
      <c r="I38" s="6"/>
      <c r="J38" s="6"/>
      <c r="K38" s="6"/>
      <c r="L38" s="6"/>
      <c r="M38" s="6"/>
      <c r="N38" s="6"/>
      <c r="O38" s="6"/>
      <c r="P38" s="6"/>
      <c r="Q38" s="6"/>
      <c r="R38" s="6"/>
    </row>
    <row r="39" spans="1:18">
      <c r="A39" s="6"/>
      <c r="B39" s="6"/>
      <c r="C39" s="6" t="s">
        <v>12</v>
      </c>
      <c r="D39" s="6"/>
      <c r="E39" s="9" t="s">
        <v>0</v>
      </c>
      <c r="F39" s="6"/>
      <c r="G39" s="6"/>
      <c r="H39" s="6"/>
      <c r="I39" s="6"/>
      <c r="J39" s="6"/>
      <c r="K39" s="6"/>
      <c r="L39" s="6"/>
      <c r="M39" s="6"/>
      <c r="N39" s="6"/>
      <c r="O39" s="6"/>
      <c r="P39" s="6"/>
      <c r="Q39" s="6"/>
      <c r="R39" s="6"/>
    </row>
    <row r="40" spans="1:18">
      <c r="A40" s="6"/>
      <c r="B40" s="6"/>
      <c r="C40" s="6"/>
      <c r="D40" s="6" t="s">
        <v>189</v>
      </c>
      <c r="E40" s="6"/>
      <c r="F40" s="6"/>
      <c r="G40" s="6"/>
      <c r="H40" s="6"/>
      <c r="I40" s="6"/>
      <c r="J40" s="6"/>
      <c r="K40" s="6"/>
      <c r="L40" s="6"/>
      <c r="M40" s="6"/>
      <c r="N40" s="6"/>
      <c r="O40" s="6"/>
      <c r="P40" s="6"/>
      <c r="Q40" s="6"/>
      <c r="R40" s="6"/>
    </row>
    <row r="41" spans="1:18">
      <c r="A41" s="6"/>
      <c r="B41" s="6"/>
      <c r="C41" s="6"/>
      <c r="D41" s="6"/>
      <c r="E41" s="6"/>
      <c r="F41" s="6"/>
      <c r="G41" s="6"/>
      <c r="H41" s="6"/>
      <c r="I41" s="6"/>
      <c r="J41" s="6"/>
      <c r="K41" s="6"/>
      <c r="L41" s="6"/>
      <c r="M41" s="6"/>
      <c r="N41" s="6"/>
      <c r="O41" s="6"/>
      <c r="P41" s="6"/>
      <c r="Q41" s="6"/>
      <c r="R41" s="6"/>
    </row>
    <row r="42" spans="1:18" ht="20.399999999999999">
      <c r="A42" s="5" t="s">
        <v>13</v>
      </c>
      <c r="B42" s="6"/>
      <c r="C42" s="6"/>
      <c r="D42" s="6"/>
      <c r="E42" s="6"/>
      <c r="F42" s="6"/>
      <c r="G42" s="6"/>
      <c r="H42" s="6"/>
      <c r="I42" s="6"/>
      <c r="J42" s="6"/>
      <c r="K42" s="6"/>
      <c r="L42" s="6"/>
      <c r="M42" s="6"/>
      <c r="N42" s="6"/>
      <c r="O42" s="6"/>
      <c r="P42" s="6"/>
      <c r="Q42" s="6"/>
      <c r="R42" s="6"/>
    </row>
    <row r="43" spans="1:18" ht="15">
      <c r="A43" s="103" t="s">
        <v>144</v>
      </c>
      <c r="B43" s="6"/>
      <c r="C43" s="6"/>
      <c r="D43" s="6"/>
      <c r="E43" s="6"/>
      <c r="F43" s="6"/>
      <c r="G43" s="6"/>
      <c r="H43" s="6"/>
      <c r="I43" s="6"/>
      <c r="J43" s="6"/>
      <c r="K43" s="6"/>
      <c r="L43" s="6"/>
      <c r="M43" s="6"/>
      <c r="N43" s="6"/>
      <c r="O43" s="6"/>
      <c r="P43" s="6"/>
      <c r="Q43" s="6"/>
      <c r="R43" s="6"/>
    </row>
    <row r="44" spans="1:18">
      <c r="A44" s="6"/>
      <c r="B44" s="7" t="s">
        <v>14</v>
      </c>
      <c r="C44" s="6"/>
      <c r="D44" s="6"/>
      <c r="E44" s="6"/>
      <c r="F44" s="6"/>
      <c r="G44" s="6"/>
      <c r="H44" s="6"/>
      <c r="I44" s="6"/>
      <c r="J44" s="6"/>
      <c r="K44" s="6"/>
      <c r="L44" s="6"/>
      <c r="M44" s="6"/>
      <c r="N44" s="6"/>
      <c r="O44" s="6"/>
      <c r="P44" s="6"/>
      <c r="Q44" s="6"/>
      <c r="R44" s="6"/>
    </row>
    <row r="45" spans="1:18">
      <c r="A45" s="6"/>
      <c r="B45" s="6"/>
      <c r="C45" s="6" t="s">
        <v>22</v>
      </c>
      <c r="D45" s="6"/>
      <c r="E45" s="6"/>
      <c r="F45" s="6"/>
      <c r="G45" s="6"/>
      <c r="H45" s="6"/>
      <c r="I45" s="6"/>
      <c r="J45" s="6"/>
      <c r="K45" s="6"/>
      <c r="L45" s="6"/>
      <c r="M45" s="6"/>
      <c r="N45" s="6"/>
      <c r="O45" s="6"/>
      <c r="P45" s="6"/>
      <c r="Q45" s="6"/>
      <c r="R45" s="6"/>
    </row>
    <row r="46" spans="1:18">
      <c r="A46" s="6"/>
      <c r="B46" s="6"/>
      <c r="C46" s="6"/>
      <c r="D46" s="6"/>
      <c r="E46" s="6"/>
      <c r="F46" s="6"/>
      <c r="G46" s="6"/>
      <c r="H46" s="6"/>
      <c r="I46" s="6"/>
      <c r="J46" s="6"/>
      <c r="K46" s="6"/>
      <c r="L46" s="6"/>
      <c r="M46" s="6"/>
      <c r="N46" s="6"/>
      <c r="O46" s="6"/>
      <c r="P46" s="6"/>
      <c r="Q46" s="6"/>
      <c r="R46" s="6"/>
    </row>
    <row r="47" spans="1:18">
      <c r="A47" s="6"/>
      <c r="B47" s="6"/>
      <c r="C47" s="6"/>
      <c r="D47" s="6"/>
      <c r="E47" s="6"/>
      <c r="F47" s="6"/>
      <c r="G47" s="6"/>
      <c r="H47" s="6"/>
      <c r="I47" s="6"/>
      <c r="J47" s="6"/>
      <c r="K47" s="6"/>
      <c r="L47" s="6"/>
      <c r="M47" s="6"/>
      <c r="N47" s="6"/>
      <c r="O47" s="6"/>
      <c r="P47" s="6"/>
      <c r="Q47" s="6"/>
      <c r="R47" s="6"/>
    </row>
    <row r="48" spans="1:18">
      <c r="A48" s="6"/>
      <c r="B48" s="6"/>
      <c r="C48" s="6"/>
      <c r="D48" s="6"/>
      <c r="E48" s="6"/>
      <c r="F48" s="6"/>
      <c r="G48" s="6"/>
      <c r="H48" s="6"/>
      <c r="I48" s="6"/>
      <c r="J48" s="6"/>
      <c r="K48" s="6"/>
      <c r="L48" s="6"/>
      <c r="M48" s="6"/>
      <c r="N48" s="6"/>
      <c r="O48" s="6"/>
      <c r="P48" s="6"/>
      <c r="Q48" s="6"/>
      <c r="R48" s="6"/>
    </row>
    <row r="49" spans="1:18">
      <c r="A49" s="6"/>
      <c r="B49" s="6"/>
      <c r="C49" s="6"/>
      <c r="D49" s="6"/>
      <c r="E49" s="6"/>
      <c r="F49" s="6"/>
      <c r="G49" s="6"/>
      <c r="H49" s="6"/>
      <c r="I49" s="6"/>
      <c r="J49" s="6"/>
      <c r="K49" s="6"/>
      <c r="L49" s="6"/>
      <c r="M49" s="6"/>
      <c r="N49" s="6"/>
      <c r="O49" s="6"/>
      <c r="P49" s="6"/>
      <c r="Q49" s="6"/>
      <c r="R49" s="6"/>
    </row>
    <row r="50" spans="1:18">
      <c r="A50" s="6"/>
      <c r="B50" s="7" t="s">
        <v>15</v>
      </c>
      <c r="C50" s="6"/>
      <c r="D50" s="6"/>
      <c r="E50" s="6"/>
      <c r="F50" s="6"/>
      <c r="G50" s="6"/>
      <c r="H50" s="6"/>
      <c r="I50" s="6"/>
      <c r="J50" s="6"/>
      <c r="K50" s="6"/>
      <c r="L50" s="6"/>
      <c r="M50" s="6"/>
      <c r="N50" s="6"/>
      <c r="O50" s="6"/>
      <c r="P50" s="6"/>
      <c r="Q50" s="6"/>
      <c r="R50" s="6"/>
    </row>
    <row r="51" spans="1:18">
      <c r="A51" s="6"/>
      <c r="B51" s="7"/>
      <c r="C51" s="6" t="s">
        <v>16</v>
      </c>
      <c r="D51" s="6"/>
      <c r="E51" s="6"/>
      <c r="F51" s="6"/>
      <c r="G51" s="6"/>
      <c r="H51" s="6"/>
      <c r="I51" s="6"/>
      <c r="J51" s="6"/>
      <c r="K51" s="6"/>
      <c r="L51" s="6"/>
      <c r="M51" s="6"/>
      <c r="N51" s="6"/>
      <c r="O51" s="6"/>
      <c r="P51" s="6"/>
      <c r="Q51" s="6"/>
      <c r="R51" s="6"/>
    </row>
    <row r="52" spans="1:18">
      <c r="A52" s="6"/>
      <c r="B52" s="7"/>
      <c r="C52" s="6"/>
      <c r="D52" s="6"/>
      <c r="E52" s="6"/>
      <c r="F52" s="6"/>
      <c r="G52" s="6"/>
      <c r="H52" s="6"/>
      <c r="I52" s="6"/>
      <c r="J52" s="6"/>
      <c r="K52" s="6"/>
      <c r="L52" s="6"/>
      <c r="M52" s="6"/>
      <c r="N52" s="6"/>
      <c r="O52" s="6"/>
      <c r="P52" s="6"/>
      <c r="Q52" s="6"/>
      <c r="R52" s="6"/>
    </row>
    <row r="53" spans="1:18">
      <c r="A53" s="6"/>
      <c r="B53" s="6"/>
      <c r="C53" s="1" t="s">
        <v>26</v>
      </c>
      <c r="D53" s="6"/>
      <c r="E53" s="6"/>
      <c r="F53" s="6"/>
      <c r="G53" s="6"/>
      <c r="H53" s="6"/>
      <c r="I53" s="6"/>
      <c r="J53" s="6"/>
      <c r="K53" s="6"/>
      <c r="L53" s="6"/>
      <c r="M53" s="6"/>
      <c r="N53" s="6"/>
      <c r="O53" s="6"/>
      <c r="P53" s="6"/>
      <c r="Q53" s="6"/>
      <c r="R53" s="6"/>
    </row>
    <row r="54" spans="1:18">
      <c r="A54" s="6"/>
      <c r="B54" s="6"/>
      <c r="C54" s="1" t="s">
        <v>27</v>
      </c>
      <c r="D54" s="6"/>
      <c r="E54" s="6"/>
      <c r="F54" s="6"/>
      <c r="G54" s="6"/>
      <c r="H54" s="6"/>
      <c r="I54" s="6"/>
      <c r="J54" s="6"/>
      <c r="K54" s="6"/>
      <c r="L54" s="6"/>
      <c r="M54" s="6"/>
      <c r="N54" s="6"/>
      <c r="O54" s="6"/>
      <c r="P54" s="6"/>
      <c r="Q54" s="6"/>
      <c r="R54" s="6"/>
    </row>
    <row r="55" spans="1:18">
      <c r="A55" s="6"/>
      <c r="B55" s="6"/>
      <c r="C55" s="1" t="s">
        <v>117</v>
      </c>
      <c r="D55" s="6"/>
      <c r="E55" s="6"/>
      <c r="F55" s="6"/>
      <c r="G55" s="6"/>
      <c r="H55" s="6"/>
      <c r="I55" s="6"/>
      <c r="J55" s="6"/>
      <c r="K55" s="6"/>
      <c r="L55" s="6"/>
      <c r="M55" s="6"/>
      <c r="N55" s="6"/>
      <c r="O55" s="6"/>
      <c r="P55" s="6"/>
      <c r="Q55" s="6"/>
      <c r="R55" s="6"/>
    </row>
    <row r="56" spans="1:18">
      <c r="A56" s="6"/>
      <c r="B56" s="6"/>
      <c r="C56" s="68" t="s">
        <v>116</v>
      </c>
      <c r="D56" s="69"/>
      <c r="E56" s="71"/>
      <c r="F56" s="11"/>
      <c r="G56" s="11"/>
      <c r="H56" s="11"/>
      <c r="I56" s="11"/>
      <c r="J56" s="11"/>
      <c r="K56" s="11"/>
      <c r="L56" s="11"/>
      <c r="M56" s="12"/>
      <c r="N56" s="6"/>
      <c r="O56" s="6"/>
      <c r="P56" s="6"/>
      <c r="Q56" s="6"/>
      <c r="R56" s="6"/>
    </row>
    <row r="57" spans="1:18">
      <c r="A57" s="6"/>
      <c r="B57" s="6"/>
      <c r="C57" s="13"/>
      <c r="D57" s="14" t="s">
        <v>25</v>
      </c>
      <c r="E57" s="14"/>
      <c r="F57" s="14"/>
      <c r="G57" s="14"/>
      <c r="H57" s="14"/>
      <c r="I57" s="14"/>
      <c r="J57" s="14"/>
      <c r="K57" s="14"/>
      <c r="L57" s="14"/>
      <c r="M57" s="15"/>
      <c r="N57" s="6"/>
      <c r="O57" s="6"/>
      <c r="P57" s="6"/>
      <c r="Q57" s="6"/>
      <c r="R57" s="6"/>
    </row>
    <row r="58" spans="1:18">
      <c r="A58" s="6"/>
      <c r="B58" s="6"/>
      <c r="C58" s="13"/>
      <c r="D58" s="14"/>
      <c r="E58" s="14" t="s">
        <v>17</v>
      </c>
      <c r="F58" s="14"/>
      <c r="G58" s="14"/>
      <c r="H58" s="14"/>
      <c r="I58" s="14"/>
      <c r="J58" s="14"/>
      <c r="K58" s="14"/>
      <c r="L58" s="14"/>
      <c r="M58" s="15"/>
      <c r="N58" s="6"/>
      <c r="O58" s="6"/>
      <c r="P58" s="6"/>
      <c r="Q58" s="6"/>
      <c r="R58" s="6"/>
    </row>
    <row r="59" spans="1:18">
      <c r="A59" s="6"/>
      <c r="B59" s="6"/>
      <c r="C59" s="16"/>
      <c r="D59" s="17"/>
      <c r="E59" s="17"/>
      <c r="F59" s="17"/>
      <c r="G59" s="17"/>
      <c r="H59" s="17"/>
      <c r="I59" s="17"/>
      <c r="J59" s="17"/>
      <c r="K59" s="17"/>
      <c r="L59" s="17"/>
      <c r="M59" s="18"/>
      <c r="N59" s="6"/>
      <c r="O59" s="6"/>
      <c r="P59" s="6"/>
      <c r="Q59" s="6"/>
      <c r="R59" s="6"/>
    </row>
    <row r="60" spans="1:18">
      <c r="A60" s="6"/>
      <c r="B60" s="6"/>
      <c r="C60" s="6"/>
      <c r="D60" s="6"/>
      <c r="E60" s="6"/>
      <c r="F60" s="6"/>
      <c r="G60" s="6"/>
      <c r="H60" s="6"/>
      <c r="I60" s="6"/>
      <c r="J60" s="6"/>
      <c r="K60" s="6"/>
      <c r="L60" s="6"/>
      <c r="M60" s="6"/>
      <c r="N60" s="6"/>
      <c r="O60" s="6"/>
      <c r="P60" s="6"/>
      <c r="Q60" s="6"/>
      <c r="R60" s="6"/>
    </row>
    <row r="61" spans="1:18">
      <c r="A61" s="6"/>
      <c r="B61" s="7" t="s">
        <v>18</v>
      </c>
      <c r="C61" s="6"/>
      <c r="D61" s="6"/>
      <c r="E61" s="6"/>
      <c r="F61" s="6"/>
      <c r="G61" s="6"/>
      <c r="H61" s="6"/>
      <c r="I61" s="6"/>
      <c r="J61" s="6"/>
      <c r="K61" s="6"/>
      <c r="L61" s="6"/>
      <c r="M61" s="6"/>
      <c r="N61" s="6"/>
      <c r="O61" s="6"/>
      <c r="P61" s="6"/>
      <c r="Q61" s="6"/>
      <c r="R61" s="6"/>
    </row>
    <row r="62" spans="1:18">
      <c r="A62" s="6"/>
      <c r="B62" s="6"/>
      <c r="C62" s="6"/>
      <c r="D62" s="6"/>
      <c r="E62" s="6"/>
      <c r="F62" s="6"/>
      <c r="G62" s="6"/>
      <c r="H62" s="6"/>
      <c r="I62" s="6"/>
      <c r="J62" s="6"/>
      <c r="K62" s="6"/>
      <c r="L62" s="6"/>
      <c r="M62" s="6"/>
      <c r="N62" s="6"/>
      <c r="O62" s="6"/>
      <c r="P62" s="6"/>
      <c r="Q62" s="6"/>
      <c r="R62" s="6"/>
    </row>
    <row r="120" spans="1:4" ht="15">
      <c r="A120" s="103" t="s">
        <v>145</v>
      </c>
    </row>
    <row r="121" spans="1:4">
      <c r="B121" s="7" t="s">
        <v>14</v>
      </c>
      <c r="C121" s="6"/>
      <c r="D121" s="6"/>
    </row>
    <row r="122" spans="1:4">
      <c r="B122" s="6"/>
      <c r="C122" s="6" t="s">
        <v>156</v>
      </c>
      <c r="D122" s="6"/>
    </row>
    <row r="123" spans="1:4">
      <c r="B123" s="6"/>
      <c r="C123" s="6"/>
      <c r="D123" s="6"/>
    </row>
    <row r="124" spans="1:4">
      <c r="B124" s="6"/>
      <c r="C124" s="6"/>
      <c r="D124" s="6"/>
    </row>
    <row r="125" spans="1:4">
      <c r="B125" s="6"/>
      <c r="C125" s="6"/>
      <c r="D125" s="6"/>
    </row>
    <row r="126" spans="1:4">
      <c r="B126" s="6"/>
      <c r="C126" s="6"/>
      <c r="D126" s="6"/>
    </row>
    <row r="127" spans="1:4">
      <c r="B127" s="7" t="s">
        <v>15</v>
      </c>
      <c r="C127" s="6"/>
      <c r="D127" s="6"/>
    </row>
    <row r="128" spans="1:4">
      <c r="B128" s="7"/>
      <c r="C128" s="1" t="s">
        <v>146</v>
      </c>
      <c r="D128" s="6"/>
    </row>
    <row r="130" spans="2:4">
      <c r="B130" s="3" t="s">
        <v>147</v>
      </c>
    </row>
    <row r="131" spans="2:4">
      <c r="C131" s="10" t="s">
        <v>186</v>
      </c>
    </row>
    <row r="132" spans="2:4">
      <c r="C132" s="1" t="s">
        <v>149</v>
      </c>
    </row>
    <row r="133" spans="2:4">
      <c r="C133" s="10"/>
    </row>
    <row r="134" spans="2:4">
      <c r="C134" s="10"/>
    </row>
    <row r="135" spans="2:4">
      <c r="C135" s="10"/>
    </row>
    <row r="136" spans="2:4">
      <c r="C136" s="10"/>
    </row>
    <row r="137" spans="2:4">
      <c r="C137" s="1" t="s">
        <v>148</v>
      </c>
    </row>
    <row r="138" spans="2:4">
      <c r="D138" s="2" t="s">
        <v>113</v>
      </c>
    </row>
    <row r="163" spans="1:7" ht="15">
      <c r="A163" s="103" t="s">
        <v>258</v>
      </c>
      <c r="B163" s="157"/>
      <c r="C163" s="157"/>
      <c r="D163" s="157"/>
      <c r="E163" s="157"/>
      <c r="F163" s="157"/>
    </row>
    <row r="164" spans="1:7">
      <c r="A164" s="157"/>
      <c r="B164" s="7" t="s">
        <v>14</v>
      </c>
      <c r="C164" s="6"/>
      <c r="D164" s="157"/>
      <c r="E164" s="157"/>
      <c r="F164" s="157"/>
    </row>
    <row r="165" spans="1:7">
      <c r="A165" s="157"/>
      <c r="B165" s="6"/>
      <c r="C165" s="1" t="s">
        <v>259</v>
      </c>
      <c r="D165" s="157"/>
      <c r="E165" s="157"/>
      <c r="F165" s="157"/>
    </row>
    <row r="166" spans="1:7">
      <c r="G166" s="1" t="s">
        <v>264</v>
      </c>
    </row>
    <row r="167" spans="1:7">
      <c r="G167" t="s">
        <v>265</v>
      </c>
    </row>
    <row r="168" spans="1:7">
      <c r="G168" t="s">
        <v>266</v>
      </c>
    </row>
    <row r="170" spans="1:7">
      <c r="B170" s="7" t="s">
        <v>15</v>
      </c>
      <c r="C170" s="6"/>
    </row>
    <row r="171" spans="1:7">
      <c r="B171" s="7"/>
      <c r="C171" s="1" t="s">
        <v>146</v>
      </c>
    </row>
    <row r="173" spans="1:7">
      <c r="B173" s="3" t="s">
        <v>147</v>
      </c>
      <c r="C173" s="157"/>
    </row>
    <row r="174" spans="1:7" ht="15">
      <c r="B174" s="157"/>
      <c r="C174" s="6" t="s">
        <v>260</v>
      </c>
      <c r="D174" s="6"/>
      <c r="E174" s="6"/>
      <c r="F174" s="6"/>
    </row>
    <row r="175" spans="1:7">
      <c r="C175" s="6" t="s">
        <v>261</v>
      </c>
      <c r="D175" s="6"/>
      <c r="E175" s="6"/>
      <c r="F175" s="6"/>
    </row>
    <row r="176" spans="1:7">
      <c r="C176" s="6" t="s">
        <v>262</v>
      </c>
      <c r="D176" s="6"/>
      <c r="E176" s="6"/>
      <c r="F176" s="6"/>
    </row>
    <row r="177" spans="3:6">
      <c r="C177" s="6" t="s">
        <v>263</v>
      </c>
      <c r="D177" s="6"/>
      <c r="E177" s="6"/>
      <c r="F177" s="6"/>
    </row>
  </sheetData>
  <phoneticPr fontId="2"/>
  <hyperlinks>
    <hyperlink ref="E39" r:id="rId1" xr:uid="{FC6A62BA-A3C5-4A0A-B26A-E00AF4A61CA3}"/>
    <hyperlink ref="C23" location="生成多項式とLook_up_tableについて" display="Link to ”生成多項式とLook up tableについて：”" xr:uid="{DEAA1876-D96B-4457-8241-A6A8ED1606BE}"/>
    <hyperlink ref="D138" location="生成多項式とLook_up_tableについて" display="Link to ”生成多項式とLook up tableについて：”" xr:uid="{065B83B7-1273-4AC6-955D-7DAE8AAEDABD}"/>
  </hyperlinks>
  <pageMargins left="0.7" right="0.7" top="0.75" bottom="0.75" header="0.3" footer="0.3"/>
  <pageSetup scale="49" orientation="portrait" r:id="rId2"/>
  <rowBreaks count="3" manualBreakCount="3">
    <brk id="60" max="16383" man="1"/>
    <brk id="119" max="16383" man="1"/>
    <brk id="162" max="16383" man="1"/>
  </rowBreaks>
  <drawing r:id="rId3"/>
  <legacyDrawing r:id="rId4"/>
  <oleObjects>
    <mc:AlternateContent xmlns:mc="http://schemas.openxmlformats.org/markup-compatibility/2006">
      <mc:Choice Requires="x14">
        <oleObject progId="パッケージャー シェル オブジェクト" dvAspect="DVASPECT_ICON" shapeId="3074" r:id="rId5">
          <objectPr defaultSize="0" r:id="rId6">
            <anchor moveWithCells="1">
              <from>
                <xdr:col>2</xdr:col>
                <xdr:colOff>396240</xdr:colOff>
                <xdr:row>45</xdr:row>
                <xdr:rowOff>91440</xdr:rowOff>
              </from>
              <to>
                <xdr:col>5</xdr:col>
                <xdr:colOff>38100</xdr:colOff>
                <xdr:row>48</xdr:row>
                <xdr:rowOff>83820</xdr:rowOff>
              </to>
            </anchor>
          </objectPr>
        </oleObject>
      </mc:Choice>
      <mc:Fallback>
        <oleObject progId="パッケージャー シェル オブジェクト" dvAspect="DVASPECT_ICON" shapeId="3074" r:id="rId5"/>
      </mc:Fallback>
    </mc:AlternateContent>
    <mc:AlternateContent xmlns:mc="http://schemas.openxmlformats.org/markup-compatibility/2006">
      <mc:Choice Requires="x14">
        <oleObject progId="パッケージャー シェル オブジェクト" dvAspect="DVASPECT_ICON" shapeId="3083" r:id="rId7">
          <objectPr defaultSize="0" r:id="rId8">
            <anchor moveWithCells="1">
              <from>
                <xdr:col>2</xdr:col>
                <xdr:colOff>350520</xdr:colOff>
                <xdr:row>122</xdr:row>
                <xdr:rowOff>83820</xdr:rowOff>
              </from>
              <to>
                <xdr:col>6</xdr:col>
                <xdr:colOff>495300</xdr:colOff>
                <xdr:row>125</xdr:row>
                <xdr:rowOff>76200</xdr:rowOff>
              </to>
            </anchor>
          </objectPr>
        </oleObject>
      </mc:Choice>
      <mc:Fallback>
        <oleObject progId="パッケージャー シェル オブジェクト" dvAspect="DVASPECT_ICON" shapeId="3083" r:id="rId7"/>
      </mc:Fallback>
    </mc:AlternateContent>
    <mc:AlternateContent xmlns:mc="http://schemas.openxmlformats.org/markup-compatibility/2006">
      <mc:Choice Requires="x14">
        <oleObject progId="パッケージャー シェル オブジェクト" dvAspect="DVASPECT_ICON" shapeId="3084" r:id="rId9">
          <objectPr defaultSize="0" r:id="rId10">
            <anchor moveWithCells="1">
              <from>
                <xdr:col>2</xdr:col>
                <xdr:colOff>601980</xdr:colOff>
                <xdr:row>165</xdr:row>
                <xdr:rowOff>68580</xdr:rowOff>
              </from>
              <to>
                <xdr:col>5</xdr:col>
                <xdr:colOff>22860</xdr:colOff>
                <xdr:row>168</xdr:row>
                <xdr:rowOff>60960</xdr:rowOff>
              </to>
            </anchor>
          </objectPr>
        </oleObject>
      </mc:Choice>
      <mc:Fallback>
        <oleObject progId="パッケージャー シェル オブジェクト" dvAspect="DVASPECT_ICON" shapeId="3084" r:id="rId9"/>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96DB3-676A-4BC4-9096-0506F7C6E842}">
  <dimension ref="A1:V170"/>
  <sheetViews>
    <sheetView showGridLines="0" zoomScaleNormal="100" zoomScaleSheetLayoutView="25" workbookViewId="0"/>
  </sheetViews>
  <sheetFormatPr defaultRowHeight="13.8"/>
  <cols>
    <col min="1" max="1" width="5.09765625" customWidth="1"/>
    <col min="2" max="2" width="7" customWidth="1"/>
  </cols>
  <sheetData>
    <row r="1" spans="1:9" ht="20.399999999999999">
      <c r="A1" s="5" t="s">
        <v>83</v>
      </c>
    </row>
    <row r="3" spans="1:9" ht="18">
      <c r="B3" s="26" t="s">
        <v>84</v>
      </c>
      <c r="C3" s="26"/>
      <c r="D3" s="26"/>
      <c r="E3" s="26"/>
      <c r="F3" s="26"/>
      <c r="G3" s="26"/>
      <c r="H3" s="26"/>
      <c r="I3" s="26"/>
    </row>
    <row r="4" spans="1:9" ht="18">
      <c r="B4" s="26" t="s">
        <v>138</v>
      </c>
      <c r="C4" s="26"/>
      <c r="D4" s="26"/>
      <c r="E4" s="26"/>
      <c r="F4" s="26"/>
      <c r="G4" s="26"/>
      <c r="H4" s="26"/>
      <c r="I4" s="26"/>
    </row>
    <row r="5" spans="1:9" ht="18">
      <c r="B5" s="26"/>
      <c r="C5" s="26"/>
      <c r="D5" s="26"/>
      <c r="E5" s="26"/>
      <c r="F5" s="26"/>
      <c r="G5" s="26"/>
      <c r="H5" s="26"/>
      <c r="I5" s="26"/>
    </row>
    <row r="6" spans="1:9" ht="18">
      <c r="B6" s="26" t="s">
        <v>190</v>
      </c>
      <c r="C6" s="26"/>
      <c r="D6" s="26"/>
      <c r="E6" s="26"/>
      <c r="F6" s="26"/>
      <c r="G6" s="26"/>
      <c r="H6" s="26"/>
      <c r="I6" s="26"/>
    </row>
    <row r="7" spans="1:9" ht="18">
      <c r="B7" s="26" t="s">
        <v>125</v>
      </c>
      <c r="C7" s="26"/>
      <c r="D7" s="26"/>
      <c r="E7" s="26"/>
      <c r="F7" s="26"/>
      <c r="G7" s="26"/>
      <c r="H7" s="26"/>
      <c r="I7" s="26"/>
    </row>
    <row r="8" spans="1:9" ht="18">
      <c r="B8" s="26" t="s">
        <v>139</v>
      </c>
      <c r="C8" s="26"/>
      <c r="D8" s="26"/>
      <c r="E8" s="26"/>
      <c r="F8" s="26"/>
      <c r="G8" s="26"/>
      <c r="H8" s="26"/>
      <c r="I8" s="26"/>
    </row>
    <row r="9" spans="1:9" ht="18">
      <c r="B9" s="26"/>
      <c r="C9" s="26"/>
      <c r="D9" s="26"/>
      <c r="E9" s="26"/>
      <c r="F9" s="26"/>
      <c r="G9" s="26"/>
      <c r="H9" s="26"/>
      <c r="I9" s="26"/>
    </row>
    <row r="10" spans="1:9" ht="18">
      <c r="A10" s="58" t="s">
        <v>85</v>
      </c>
      <c r="C10" s="26"/>
      <c r="D10" s="26"/>
      <c r="E10" s="26"/>
      <c r="F10" s="26"/>
      <c r="G10" s="26"/>
      <c r="H10" s="26"/>
      <c r="I10" s="26"/>
    </row>
    <row r="11" spans="1:9" ht="18">
      <c r="A11" s="26"/>
      <c r="B11" s="1" t="s">
        <v>143</v>
      </c>
      <c r="E11" s="26"/>
      <c r="F11" s="26"/>
      <c r="G11" s="26"/>
      <c r="H11" s="26"/>
      <c r="I11" s="26"/>
    </row>
    <row r="12" spans="1:9" ht="18">
      <c r="A12" s="26"/>
      <c r="B12" s="51" t="s">
        <v>126</v>
      </c>
      <c r="E12" s="26"/>
      <c r="F12" s="26"/>
      <c r="G12" s="26"/>
      <c r="H12" s="26"/>
      <c r="I12" s="26"/>
    </row>
    <row r="13" spans="1:9" ht="18">
      <c r="A13" s="26"/>
      <c r="B13" s="26"/>
      <c r="C13" s="26" t="s">
        <v>79</v>
      </c>
      <c r="E13" s="26"/>
      <c r="F13" s="26"/>
      <c r="G13" s="26"/>
      <c r="H13" s="26"/>
      <c r="I13" s="26"/>
    </row>
    <row r="14" spans="1:9" ht="18">
      <c r="A14" s="26"/>
      <c r="B14" s="26"/>
      <c r="C14" s="29" t="s">
        <v>80</v>
      </c>
      <c r="D14" s="26"/>
      <c r="E14" s="26"/>
      <c r="F14" s="26"/>
      <c r="G14" s="26"/>
      <c r="H14" s="26"/>
      <c r="I14" s="26"/>
    </row>
    <row r="15" spans="1:9" ht="18">
      <c r="A15" s="26"/>
      <c r="D15" s="26"/>
      <c r="E15" s="26"/>
      <c r="F15" s="26"/>
      <c r="G15" s="26"/>
      <c r="H15" s="26"/>
      <c r="I15" s="26"/>
    </row>
    <row r="16" spans="1:9" ht="18">
      <c r="A16" s="26"/>
      <c r="B16" s="51" t="s">
        <v>86</v>
      </c>
      <c r="D16" s="26"/>
      <c r="E16" s="26"/>
      <c r="F16" s="26"/>
      <c r="G16" s="26"/>
      <c r="H16" s="26"/>
      <c r="I16" s="26"/>
    </row>
    <row r="17" spans="1:22" ht="18">
      <c r="A17" s="26"/>
      <c r="B17" s="49"/>
      <c r="C17" s="26" t="s">
        <v>87</v>
      </c>
      <c r="E17" s="26"/>
      <c r="F17" s="26"/>
      <c r="G17" s="26"/>
      <c r="H17" s="26"/>
      <c r="I17" s="26"/>
    </row>
    <row r="18" spans="1:22" ht="18">
      <c r="A18" s="26"/>
      <c r="B18" s="49"/>
      <c r="D18" s="26"/>
      <c r="E18" s="26"/>
      <c r="F18" s="26"/>
      <c r="G18" s="26"/>
      <c r="H18" s="26"/>
      <c r="I18" s="26"/>
    </row>
    <row r="19" spans="1:22" ht="18">
      <c r="A19" s="26"/>
      <c r="B19" s="50" t="s">
        <v>88</v>
      </c>
      <c r="D19" s="26"/>
      <c r="E19" s="26"/>
      <c r="F19" s="26"/>
      <c r="G19" s="26"/>
      <c r="H19" s="26"/>
      <c r="I19" s="26"/>
    </row>
    <row r="20" spans="1:22" ht="18">
      <c r="A20" s="26"/>
      <c r="B20" s="26"/>
      <c r="C20" s="49" t="s">
        <v>81</v>
      </c>
      <c r="E20" s="26"/>
      <c r="F20" s="26"/>
      <c r="G20" s="26"/>
      <c r="H20" s="26"/>
      <c r="I20" s="26"/>
    </row>
    <row r="21" spans="1:22" ht="18">
      <c r="A21" s="26"/>
      <c r="B21" s="26"/>
      <c r="C21" s="49" t="s">
        <v>82</v>
      </c>
      <c r="E21" s="26"/>
      <c r="F21" s="26"/>
      <c r="G21" s="26"/>
      <c r="H21" s="26"/>
      <c r="I21" s="26"/>
    </row>
    <row r="22" spans="1:22" ht="18">
      <c r="A22" s="26"/>
      <c r="B22" s="26"/>
      <c r="C22" s="49"/>
      <c r="D22" s="26"/>
      <c r="E22" s="26"/>
      <c r="F22" s="26"/>
      <c r="G22" s="26"/>
      <c r="H22" s="26"/>
      <c r="I22" s="26"/>
    </row>
    <row r="23" spans="1:22" ht="18">
      <c r="A23" s="58" t="s">
        <v>89</v>
      </c>
    </row>
    <row r="24" spans="1:22" ht="18">
      <c r="A24" s="52"/>
      <c r="B24" s="57" t="s">
        <v>97</v>
      </c>
    </row>
    <row r="25" spans="1:22" ht="18">
      <c r="A25" s="52"/>
      <c r="C25" s="6" t="s">
        <v>93</v>
      </c>
    </row>
    <row r="26" spans="1:22" ht="18">
      <c r="B26" s="53"/>
      <c r="C26" s="56" t="s">
        <v>94</v>
      </c>
      <c r="D26" s="53"/>
      <c r="E26" s="53"/>
      <c r="F26" s="53"/>
      <c r="G26" s="53"/>
      <c r="H26" s="53"/>
      <c r="I26" s="53"/>
      <c r="J26" s="53"/>
      <c r="K26" s="53"/>
      <c r="L26" s="53"/>
      <c r="M26" s="53"/>
      <c r="N26" s="53"/>
      <c r="O26" s="53"/>
      <c r="P26" s="53"/>
      <c r="Q26" s="53"/>
      <c r="R26" s="53"/>
      <c r="S26" s="53"/>
      <c r="T26" s="53"/>
      <c r="U26" s="53"/>
      <c r="V26" s="53"/>
    </row>
    <row r="27" spans="1:22" ht="18">
      <c r="B27" s="53"/>
      <c r="C27" s="54"/>
      <c r="D27" s="53"/>
      <c r="E27" s="53"/>
      <c r="F27" s="53"/>
      <c r="G27" s="53"/>
      <c r="H27" s="53"/>
      <c r="I27" s="53"/>
      <c r="J27" s="53"/>
      <c r="K27" s="53"/>
      <c r="L27" s="53"/>
      <c r="M27" s="53"/>
      <c r="N27" s="53"/>
      <c r="O27" s="53"/>
      <c r="P27" s="53"/>
      <c r="Q27" s="53"/>
      <c r="R27" s="53"/>
      <c r="S27" s="53"/>
      <c r="T27" s="53"/>
      <c r="U27" s="53"/>
      <c r="V27" s="53"/>
    </row>
    <row r="28" spans="1:22" ht="18">
      <c r="B28" s="53"/>
      <c r="C28" s="54"/>
      <c r="D28" s="53"/>
      <c r="E28" s="53"/>
      <c r="F28" s="53"/>
      <c r="G28" s="53"/>
      <c r="H28" s="53"/>
      <c r="I28" s="53"/>
      <c r="J28" s="53"/>
      <c r="K28" s="53"/>
      <c r="L28" s="53"/>
      <c r="M28" s="53"/>
      <c r="N28" s="53"/>
      <c r="O28" s="53"/>
      <c r="P28" s="53"/>
      <c r="Q28" s="53"/>
      <c r="R28" s="53"/>
      <c r="S28" s="53"/>
      <c r="T28" s="53"/>
      <c r="U28" s="53"/>
      <c r="V28" s="53"/>
    </row>
    <row r="29" spans="1:22" ht="18">
      <c r="B29" s="53"/>
      <c r="C29" s="54"/>
      <c r="D29" s="53"/>
      <c r="E29" s="53"/>
      <c r="F29" s="53"/>
      <c r="G29" s="53"/>
      <c r="H29" s="53"/>
      <c r="I29" s="53"/>
      <c r="J29" s="53"/>
      <c r="K29" s="53"/>
      <c r="L29" s="53"/>
      <c r="M29" s="53"/>
      <c r="N29" s="53"/>
      <c r="O29" s="53"/>
      <c r="P29" s="53"/>
      <c r="Q29" s="53"/>
      <c r="R29" s="53"/>
      <c r="S29" s="53"/>
      <c r="T29" s="53"/>
      <c r="U29" s="53"/>
      <c r="V29" s="53"/>
    </row>
    <row r="30" spans="1:22" ht="18">
      <c r="B30" s="53"/>
      <c r="C30" s="54"/>
      <c r="D30" s="53"/>
      <c r="E30" s="53"/>
      <c r="F30" s="53"/>
      <c r="G30" s="53"/>
      <c r="H30" s="53"/>
      <c r="I30" s="53"/>
      <c r="J30" s="53"/>
      <c r="K30" s="53"/>
      <c r="L30" s="53"/>
      <c r="M30" s="53"/>
      <c r="N30" s="53"/>
      <c r="O30" s="53"/>
      <c r="P30" s="53"/>
      <c r="Q30" s="53"/>
      <c r="R30" s="53"/>
      <c r="S30" s="53"/>
      <c r="T30" s="53"/>
      <c r="U30" s="53"/>
      <c r="V30" s="53"/>
    </row>
    <row r="31" spans="1:22" ht="18">
      <c r="B31" s="53"/>
      <c r="C31" s="54"/>
      <c r="D31" s="53"/>
      <c r="E31" s="53"/>
      <c r="F31" s="53"/>
      <c r="G31" s="53"/>
      <c r="H31" s="53"/>
      <c r="I31" s="53"/>
      <c r="J31" s="53"/>
      <c r="K31" s="53"/>
      <c r="L31" s="53"/>
      <c r="M31" s="53"/>
      <c r="N31" s="53"/>
      <c r="O31" s="53"/>
      <c r="P31" s="53"/>
      <c r="Q31" s="53"/>
      <c r="R31" s="53"/>
      <c r="S31" s="53"/>
      <c r="T31" s="53"/>
      <c r="U31" s="53"/>
      <c r="V31" s="53"/>
    </row>
    <row r="32" spans="1:22" ht="18">
      <c r="B32" s="53"/>
      <c r="C32" s="54"/>
      <c r="D32" s="53"/>
      <c r="E32" s="53"/>
      <c r="F32" s="53"/>
      <c r="G32" s="53"/>
      <c r="H32" s="53"/>
      <c r="I32" s="53"/>
      <c r="J32" s="53"/>
      <c r="K32" s="53"/>
      <c r="L32" s="53"/>
      <c r="M32" s="53"/>
      <c r="N32" s="53"/>
      <c r="O32" s="53"/>
      <c r="P32" s="53"/>
      <c r="Q32" s="53"/>
      <c r="R32" s="53"/>
      <c r="S32" s="53"/>
      <c r="T32" s="53"/>
      <c r="U32" s="53"/>
      <c r="V32" s="53"/>
    </row>
    <row r="33" spans="2:22" ht="18">
      <c r="B33" s="53"/>
      <c r="C33" s="54"/>
      <c r="D33" s="53"/>
      <c r="E33" s="53"/>
      <c r="F33" s="53"/>
      <c r="G33" s="53"/>
      <c r="H33" s="53"/>
      <c r="I33" s="53"/>
      <c r="J33" s="53"/>
      <c r="K33" s="53"/>
      <c r="L33" s="53"/>
      <c r="M33" s="53"/>
      <c r="N33" s="53"/>
      <c r="O33" s="53"/>
      <c r="P33" s="53"/>
      <c r="Q33" s="53"/>
      <c r="R33" s="53"/>
      <c r="S33" s="53"/>
      <c r="T33" s="53"/>
      <c r="U33" s="53"/>
      <c r="V33" s="53"/>
    </row>
    <row r="34" spans="2:22" ht="18">
      <c r="B34" s="53"/>
      <c r="C34" s="54"/>
      <c r="D34" s="53"/>
      <c r="E34" s="53"/>
      <c r="F34" s="53"/>
      <c r="G34" s="53"/>
      <c r="H34" s="53"/>
      <c r="I34" s="53"/>
      <c r="J34" s="53"/>
      <c r="K34" s="53"/>
      <c r="L34" s="53"/>
      <c r="M34" s="53"/>
      <c r="N34" s="53"/>
      <c r="O34" s="53"/>
      <c r="P34" s="53"/>
      <c r="Q34" s="53"/>
      <c r="R34" s="53"/>
      <c r="S34" s="53"/>
      <c r="T34" s="53"/>
      <c r="U34" s="53"/>
      <c r="V34" s="53"/>
    </row>
    <row r="35" spans="2:22" ht="18">
      <c r="B35" s="53"/>
      <c r="C35" s="53"/>
      <c r="D35" s="53"/>
      <c r="E35" s="53"/>
      <c r="F35" s="53"/>
      <c r="G35" s="53"/>
      <c r="H35" s="53"/>
      <c r="I35" s="53"/>
      <c r="J35" s="53"/>
      <c r="K35" s="53"/>
      <c r="L35" s="53"/>
      <c r="M35" s="53"/>
      <c r="N35" s="53"/>
      <c r="O35" s="53"/>
      <c r="P35" s="53"/>
      <c r="Q35" s="53"/>
      <c r="R35" s="53"/>
      <c r="S35" s="53"/>
      <c r="T35" s="53"/>
      <c r="U35" s="53"/>
      <c r="V35" s="53"/>
    </row>
    <row r="36" spans="2:22" ht="18">
      <c r="B36" s="53"/>
      <c r="C36" s="53"/>
      <c r="D36" s="53"/>
      <c r="E36" s="53"/>
      <c r="F36" s="53"/>
      <c r="G36" s="53"/>
      <c r="H36" s="53"/>
      <c r="I36" s="53"/>
      <c r="J36" s="53"/>
      <c r="K36" s="53"/>
      <c r="L36" s="53"/>
      <c r="M36" s="53"/>
      <c r="N36" s="53"/>
      <c r="O36" s="53"/>
      <c r="P36" s="53"/>
      <c r="Q36" s="53"/>
      <c r="R36" s="53"/>
      <c r="S36" s="53"/>
      <c r="T36" s="53"/>
      <c r="U36" s="53"/>
      <c r="V36" s="53"/>
    </row>
    <row r="37" spans="2:22" ht="18">
      <c r="B37" s="53"/>
      <c r="C37" s="56" t="s">
        <v>100</v>
      </c>
      <c r="D37" s="53"/>
      <c r="E37" s="53"/>
      <c r="F37" s="53"/>
      <c r="G37" s="53"/>
      <c r="H37" s="53"/>
      <c r="I37" s="53"/>
      <c r="J37" s="53"/>
      <c r="K37" s="53"/>
      <c r="L37" s="53"/>
      <c r="M37" s="53"/>
      <c r="N37" s="53"/>
      <c r="O37" s="53"/>
      <c r="P37" s="53"/>
      <c r="Q37" s="53"/>
      <c r="R37" s="53"/>
      <c r="S37" s="53"/>
      <c r="T37" s="53"/>
      <c r="U37" s="53"/>
      <c r="V37" s="53"/>
    </row>
    <row r="38" spans="2:22" ht="18">
      <c r="B38" s="53"/>
      <c r="C38" s="53"/>
      <c r="D38" s="53"/>
      <c r="E38" s="53"/>
      <c r="F38" s="53"/>
      <c r="G38" s="53"/>
      <c r="H38" s="53"/>
      <c r="I38" s="53"/>
      <c r="J38" s="53"/>
      <c r="K38" s="53"/>
      <c r="L38" s="53"/>
      <c r="M38" s="53"/>
      <c r="N38" s="53"/>
      <c r="O38" s="53"/>
      <c r="P38" s="53"/>
      <c r="Q38" s="53"/>
      <c r="R38" s="53"/>
      <c r="S38" s="53"/>
      <c r="T38" s="53"/>
      <c r="U38" s="53"/>
      <c r="V38" s="53"/>
    </row>
    <row r="39" spans="2:22" ht="18">
      <c r="B39" s="53"/>
      <c r="C39" s="53"/>
      <c r="D39" s="53"/>
      <c r="E39" s="53"/>
      <c r="F39" s="53"/>
      <c r="G39" s="53"/>
      <c r="H39" s="53"/>
      <c r="I39" s="53"/>
      <c r="J39" s="53"/>
      <c r="K39" s="53"/>
      <c r="L39" s="53"/>
      <c r="M39" s="53"/>
      <c r="N39" s="53"/>
      <c r="O39" s="53"/>
      <c r="P39" s="53"/>
      <c r="Q39" s="53"/>
      <c r="R39" s="53"/>
      <c r="S39" s="53"/>
      <c r="T39" s="53"/>
      <c r="U39" s="53"/>
      <c r="V39" s="53"/>
    </row>
    <row r="40" spans="2:22" ht="18">
      <c r="B40" s="53"/>
      <c r="C40" s="53"/>
      <c r="D40" s="53"/>
      <c r="E40" s="53"/>
      <c r="F40" s="53"/>
      <c r="G40" s="53"/>
      <c r="H40" s="53"/>
      <c r="I40" s="53"/>
      <c r="J40" s="53"/>
      <c r="K40" s="53"/>
      <c r="L40" s="53"/>
      <c r="M40" s="53"/>
      <c r="N40" s="53"/>
      <c r="O40" s="53"/>
      <c r="P40" s="53"/>
      <c r="Q40" s="53"/>
      <c r="R40" s="53"/>
      <c r="S40" s="53"/>
      <c r="T40" s="53"/>
      <c r="U40" s="53"/>
      <c r="V40" s="53"/>
    </row>
    <row r="41" spans="2:22" ht="18">
      <c r="B41" s="53"/>
      <c r="C41" s="53"/>
      <c r="D41" s="53"/>
      <c r="E41" s="53"/>
      <c r="F41" s="53"/>
      <c r="G41" s="53"/>
      <c r="H41" s="53"/>
      <c r="I41" s="53"/>
      <c r="J41" s="53"/>
      <c r="K41" s="53"/>
      <c r="L41" s="53"/>
      <c r="M41" s="53"/>
      <c r="N41" s="53"/>
      <c r="O41" s="53"/>
      <c r="P41" s="53"/>
      <c r="Q41" s="53"/>
      <c r="R41" s="53"/>
      <c r="S41" s="53"/>
      <c r="T41" s="53"/>
      <c r="U41" s="53"/>
      <c r="V41" s="53"/>
    </row>
    <row r="42" spans="2:22" ht="18">
      <c r="B42" s="53"/>
      <c r="C42" s="53"/>
      <c r="D42" s="53"/>
      <c r="E42" s="53"/>
      <c r="F42" s="53"/>
      <c r="G42" s="53"/>
      <c r="H42" s="53"/>
      <c r="I42" s="53"/>
      <c r="J42" s="53"/>
      <c r="K42" s="53"/>
      <c r="L42" s="53"/>
      <c r="M42" s="53"/>
      <c r="N42" s="53"/>
      <c r="O42" s="53"/>
      <c r="P42" s="53"/>
      <c r="Q42" s="53"/>
      <c r="R42" s="53"/>
      <c r="S42" s="53"/>
      <c r="T42" s="53"/>
      <c r="U42" s="53"/>
      <c r="V42" s="53"/>
    </row>
    <row r="43" spans="2:22" ht="18">
      <c r="B43" s="53"/>
      <c r="C43" s="53"/>
      <c r="D43" s="53"/>
      <c r="E43" s="53"/>
      <c r="F43" s="53"/>
      <c r="G43" s="53"/>
      <c r="H43" s="53"/>
      <c r="I43" s="53"/>
      <c r="J43" s="53"/>
      <c r="K43" s="53"/>
      <c r="L43" s="53"/>
      <c r="M43" s="53"/>
      <c r="N43" s="53"/>
      <c r="O43" s="53"/>
      <c r="P43" s="53"/>
      <c r="Q43" s="53"/>
      <c r="R43" s="53"/>
      <c r="S43" s="53"/>
      <c r="T43" s="53"/>
      <c r="U43" s="53"/>
      <c r="V43" s="53"/>
    </row>
    <row r="44" spans="2:22" ht="18">
      <c r="B44" s="53"/>
      <c r="C44" s="53"/>
      <c r="D44" s="53"/>
      <c r="E44" s="53"/>
      <c r="F44" s="53"/>
      <c r="G44" s="53"/>
      <c r="H44" s="53"/>
      <c r="I44" s="53"/>
      <c r="J44" s="53"/>
      <c r="K44" s="53"/>
      <c r="L44" s="53"/>
      <c r="M44" s="53"/>
      <c r="N44" s="53"/>
      <c r="O44" s="53"/>
      <c r="P44" s="53"/>
      <c r="Q44" s="53"/>
      <c r="R44" s="53"/>
      <c r="S44" s="53"/>
      <c r="T44" s="53"/>
      <c r="U44" s="53"/>
      <c r="V44" s="53"/>
    </row>
    <row r="45" spans="2:22" ht="18">
      <c r="B45" s="59" t="s">
        <v>102</v>
      </c>
      <c r="C45" s="53"/>
      <c r="D45" s="53"/>
      <c r="E45" s="53"/>
      <c r="F45" s="53"/>
      <c r="G45" s="53"/>
      <c r="H45" s="53"/>
      <c r="I45" s="53"/>
      <c r="J45" s="53"/>
      <c r="K45" s="53"/>
      <c r="L45" s="53"/>
      <c r="M45" s="53"/>
      <c r="N45" s="53"/>
      <c r="O45" s="53"/>
      <c r="P45" s="53"/>
      <c r="Q45" s="53"/>
      <c r="R45" s="53"/>
      <c r="S45" s="53"/>
      <c r="T45" s="53"/>
      <c r="U45" s="53"/>
      <c r="V45" s="53"/>
    </row>
    <row r="46" spans="2:22" ht="18">
      <c r="B46" s="53"/>
      <c r="C46" s="53" t="s">
        <v>103</v>
      </c>
      <c r="D46" s="53"/>
      <c r="E46" s="53"/>
      <c r="F46" s="53"/>
      <c r="G46" s="53"/>
      <c r="H46" s="53"/>
      <c r="I46" s="53"/>
      <c r="J46" s="53"/>
      <c r="K46" s="53"/>
      <c r="L46" s="53"/>
      <c r="M46" s="53"/>
      <c r="N46" s="53"/>
      <c r="O46" s="53"/>
      <c r="P46" s="53"/>
      <c r="Q46" s="53"/>
      <c r="R46" s="53"/>
      <c r="S46" s="53"/>
      <c r="T46" s="53"/>
      <c r="U46" s="53"/>
      <c r="V46" s="53"/>
    </row>
    <row r="47" spans="2:22" ht="18">
      <c r="B47" s="53"/>
      <c r="C47" s="60" t="s">
        <v>101</v>
      </c>
      <c r="D47" s="53"/>
      <c r="E47" s="53"/>
      <c r="F47" s="53"/>
      <c r="G47" s="53"/>
      <c r="H47" s="53"/>
      <c r="I47" s="53"/>
      <c r="J47" s="60" t="s">
        <v>128</v>
      </c>
      <c r="L47" s="53"/>
      <c r="M47" s="53"/>
      <c r="N47" s="53"/>
      <c r="O47" s="53"/>
      <c r="P47" s="53"/>
      <c r="Q47" s="53"/>
      <c r="R47" s="53"/>
      <c r="S47" s="53"/>
      <c r="T47" s="53"/>
      <c r="U47" s="53"/>
      <c r="V47" s="53"/>
    </row>
    <row r="48" spans="2:22" ht="18">
      <c r="B48" s="53"/>
      <c r="C48" s="53"/>
      <c r="D48" s="53"/>
      <c r="E48" s="53"/>
      <c r="F48" s="53"/>
      <c r="G48" s="53"/>
      <c r="H48" s="53"/>
      <c r="I48" s="53"/>
      <c r="J48" s="53"/>
      <c r="K48" s="53"/>
      <c r="L48" s="53"/>
      <c r="M48" s="53"/>
      <c r="N48" s="53"/>
      <c r="O48" s="53"/>
      <c r="P48" s="53"/>
      <c r="Q48" s="53"/>
      <c r="R48" s="53"/>
      <c r="S48" s="53"/>
      <c r="T48" s="53"/>
      <c r="U48" s="53"/>
      <c r="V48" s="53"/>
    </row>
    <row r="49" spans="1:22" ht="18">
      <c r="B49" s="53"/>
      <c r="D49" s="53"/>
      <c r="E49" s="53"/>
      <c r="F49" s="53"/>
      <c r="G49" s="53"/>
      <c r="H49" s="53"/>
      <c r="I49" s="53"/>
      <c r="J49" s="53"/>
      <c r="K49" s="53"/>
      <c r="L49" s="53"/>
      <c r="M49" s="53"/>
      <c r="N49" s="53"/>
      <c r="O49" s="53"/>
      <c r="P49" s="53"/>
      <c r="Q49" s="53"/>
      <c r="R49" s="53"/>
      <c r="S49" s="53"/>
      <c r="T49" s="53"/>
      <c r="U49" s="53"/>
      <c r="V49" s="53"/>
    </row>
    <row r="50" spans="1:22" ht="18">
      <c r="B50" s="53"/>
      <c r="C50" s="53"/>
      <c r="D50" s="53"/>
      <c r="E50" s="53"/>
      <c r="F50" s="53"/>
      <c r="G50" s="53"/>
      <c r="H50" s="53"/>
      <c r="I50" s="53"/>
      <c r="J50" s="53"/>
      <c r="K50" s="53"/>
      <c r="L50" s="53"/>
      <c r="M50" s="53"/>
      <c r="N50" s="53"/>
      <c r="O50" s="53"/>
      <c r="P50" s="53"/>
      <c r="Q50" s="53"/>
      <c r="R50" s="53"/>
      <c r="S50" s="53"/>
      <c r="T50" s="53"/>
      <c r="U50" s="53"/>
      <c r="V50" s="53"/>
    </row>
    <row r="51" spans="1:22" ht="18">
      <c r="B51" s="53"/>
      <c r="C51" s="53"/>
      <c r="D51" s="53"/>
      <c r="E51" s="53"/>
      <c r="F51" s="53"/>
      <c r="G51" s="53"/>
      <c r="H51" s="53"/>
      <c r="I51" s="53"/>
      <c r="J51" s="53"/>
      <c r="K51" s="53"/>
      <c r="L51" s="53"/>
      <c r="M51" s="53"/>
      <c r="N51" s="53"/>
      <c r="O51" s="53"/>
      <c r="P51" s="53"/>
      <c r="Q51" s="53"/>
      <c r="R51" s="53"/>
      <c r="S51" s="53"/>
      <c r="T51" s="53"/>
      <c r="U51" s="53"/>
      <c r="V51" s="53"/>
    </row>
    <row r="52" spans="1:22" ht="18">
      <c r="B52" s="53"/>
      <c r="C52" s="53"/>
      <c r="D52" s="53"/>
      <c r="E52" s="53"/>
      <c r="F52" s="53"/>
      <c r="G52" s="53"/>
      <c r="H52" s="53"/>
      <c r="I52" s="53"/>
      <c r="J52" s="53"/>
      <c r="K52" s="53"/>
      <c r="L52" s="53"/>
      <c r="M52" s="53"/>
      <c r="N52" s="53"/>
      <c r="O52" s="53"/>
      <c r="P52" s="53"/>
      <c r="Q52" s="53"/>
      <c r="R52" s="53"/>
      <c r="S52" s="53"/>
      <c r="T52" s="53"/>
      <c r="U52" s="53"/>
      <c r="V52" s="53"/>
    </row>
    <row r="53" spans="1:22" ht="18">
      <c r="B53" s="53"/>
      <c r="C53" s="53"/>
      <c r="D53" s="53"/>
      <c r="E53" s="53"/>
      <c r="F53" s="53"/>
      <c r="G53" s="53"/>
      <c r="H53" s="53"/>
      <c r="I53" s="53"/>
      <c r="J53" s="53"/>
      <c r="K53" s="53"/>
      <c r="L53" s="53"/>
      <c r="M53" s="53"/>
      <c r="N53" s="53"/>
      <c r="O53" s="53"/>
      <c r="P53" s="53"/>
      <c r="Q53" s="53"/>
      <c r="R53" s="53"/>
      <c r="S53" s="53"/>
      <c r="T53" s="53"/>
      <c r="U53" s="53"/>
      <c r="V53" s="53"/>
    </row>
    <row r="54" spans="1:22" ht="18">
      <c r="B54" s="53"/>
      <c r="C54" s="53"/>
      <c r="D54" s="53"/>
      <c r="E54" s="53"/>
      <c r="F54" s="53"/>
      <c r="G54" s="53"/>
      <c r="H54" s="53"/>
      <c r="I54" s="53"/>
      <c r="J54" s="53"/>
      <c r="K54" s="53"/>
      <c r="L54" s="53"/>
      <c r="M54" s="53"/>
      <c r="N54" s="53"/>
      <c r="O54" s="53"/>
      <c r="P54" s="53"/>
      <c r="Q54" s="53"/>
      <c r="R54" s="53"/>
      <c r="S54" s="53"/>
      <c r="T54" s="53"/>
      <c r="U54" s="53"/>
      <c r="V54" s="53"/>
    </row>
    <row r="55" spans="1:22" ht="18">
      <c r="B55" s="53"/>
      <c r="C55" s="53"/>
      <c r="D55" s="53"/>
      <c r="E55" s="53"/>
      <c r="F55" s="53"/>
      <c r="G55" s="53"/>
      <c r="H55" s="53"/>
      <c r="I55" s="53"/>
      <c r="J55" s="53"/>
      <c r="K55" s="53"/>
      <c r="L55" s="53"/>
      <c r="M55" s="53"/>
      <c r="N55" s="53"/>
      <c r="O55" s="53"/>
      <c r="P55" s="53"/>
      <c r="Q55" s="53"/>
      <c r="R55" s="53"/>
      <c r="S55" s="53"/>
      <c r="T55" s="53"/>
      <c r="U55" s="53"/>
      <c r="V55" s="53"/>
    </row>
    <row r="56" spans="1:22" ht="18">
      <c r="B56" s="53"/>
      <c r="C56" s="53" t="s">
        <v>129</v>
      </c>
      <c r="D56" s="53"/>
      <c r="E56" s="53"/>
      <c r="F56" s="53"/>
      <c r="G56" s="53"/>
      <c r="H56" s="53"/>
      <c r="I56" s="53"/>
      <c r="J56" s="53"/>
      <c r="K56" s="53"/>
      <c r="L56" s="53"/>
      <c r="M56" s="53"/>
      <c r="N56" s="53"/>
      <c r="O56" s="53"/>
      <c r="P56" s="53"/>
      <c r="Q56" s="53"/>
      <c r="R56" s="53"/>
      <c r="S56" s="53"/>
      <c r="T56" s="53"/>
      <c r="U56" s="53"/>
      <c r="V56" s="53"/>
    </row>
    <row r="57" spans="1:22" ht="18">
      <c r="B57" s="53"/>
      <c r="C57" s="53"/>
      <c r="D57" s="68" t="s">
        <v>116</v>
      </c>
      <c r="E57" s="69"/>
      <c r="F57" s="70"/>
      <c r="G57" s="19"/>
      <c r="H57" s="20"/>
      <c r="I57" s="53"/>
      <c r="J57" s="53"/>
      <c r="K57" s="53"/>
      <c r="L57" s="53"/>
      <c r="M57" s="53"/>
      <c r="N57" s="53"/>
      <c r="O57" s="53"/>
      <c r="P57" s="53"/>
      <c r="Q57" s="53"/>
      <c r="R57" s="53"/>
      <c r="S57" s="53"/>
      <c r="T57" s="53"/>
      <c r="U57" s="53"/>
      <c r="V57" s="53"/>
    </row>
    <row r="58" spans="1:22" ht="18">
      <c r="B58" s="53"/>
      <c r="C58" s="53"/>
      <c r="D58" s="13"/>
      <c r="E58" s="14" t="s">
        <v>130</v>
      </c>
      <c r="F58" s="14"/>
      <c r="G58" s="21"/>
      <c r="H58" s="22"/>
      <c r="I58" s="53"/>
      <c r="J58" s="53"/>
      <c r="K58" s="53"/>
      <c r="L58" s="53"/>
      <c r="M58" s="53"/>
      <c r="N58" s="53"/>
      <c r="O58" s="53"/>
      <c r="P58" s="53"/>
      <c r="Q58" s="53"/>
      <c r="R58" s="53"/>
      <c r="S58" s="53"/>
      <c r="T58" s="53"/>
      <c r="U58" s="53"/>
      <c r="V58" s="53"/>
    </row>
    <row r="59" spans="1:22" ht="18">
      <c r="B59" s="53"/>
      <c r="C59" s="53"/>
      <c r="D59" s="13"/>
      <c r="E59" s="14"/>
      <c r="F59" s="67"/>
      <c r="G59" s="21"/>
      <c r="H59" s="22"/>
      <c r="I59" s="53"/>
      <c r="J59" s="53"/>
      <c r="K59" s="53"/>
      <c r="L59" s="53"/>
      <c r="M59" s="53"/>
      <c r="N59" s="53"/>
      <c r="O59" s="53"/>
      <c r="P59" s="53"/>
      <c r="Q59" s="53"/>
      <c r="R59" s="53"/>
      <c r="S59" s="53"/>
      <c r="T59" s="53"/>
      <c r="U59" s="53"/>
      <c r="V59" s="53"/>
    </row>
    <row r="60" spans="1:22" ht="18">
      <c r="B60" s="53"/>
      <c r="C60" s="53"/>
      <c r="D60" s="16"/>
      <c r="E60" s="23"/>
      <c r="F60" s="23"/>
      <c r="G60" s="23"/>
      <c r="H60" s="24"/>
      <c r="I60" s="53"/>
      <c r="J60" s="53"/>
      <c r="K60" s="53"/>
      <c r="L60" s="53"/>
      <c r="M60" s="53"/>
      <c r="N60" s="53"/>
      <c r="O60" s="53"/>
      <c r="P60" s="53"/>
      <c r="Q60" s="53"/>
      <c r="R60" s="53"/>
      <c r="S60" s="53"/>
      <c r="T60" s="53"/>
      <c r="U60" s="53"/>
      <c r="V60" s="53"/>
    </row>
    <row r="61" spans="1:22" ht="18">
      <c r="B61" s="53"/>
      <c r="C61" s="53"/>
      <c r="D61" s="53"/>
      <c r="E61" s="53"/>
      <c r="F61" s="53"/>
      <c r="G61" s="53"/>
      <c r="H61" s="53"/>
      <c r="I61" s="53"/>
      <c r="J61" s="53"/>
      <c r="K61" s="53"/>
      <c r="L61" s="53"/>
      <c r="M61" s="53"/>
      <c r="N61" s="53"/>
      <c r="O61" s="53"/>
      <c r="P61" s="53"/>
      <c r="Q61" s="53"/>
      <c r="R61" s="53"/>
      <c r="S61" s="53"/>
      <c r="T61" s="53"/>
      <c r="U61" s="53"/>
      <c r="V61" s="53"/>
    </row>
    <row r="62" spans="1:22" ht="18">
      <c r="A62" s="58" t="s">
        <v>98</v>
      </c>
      <c r="D62" s="53"/>
      <c r="E62" s="53"/>
      <c r="F62" s="53"/>
      <c r="G62" s="53"/>
      <c r="H62" s="53"/>
      <c r="I62" s="53"/>
      <c r="J62" s="53"/>
      <c r="K62" s="53"/>
      <c r="L62" s="53"/>
      <c r="M62" s="53"/>
      <c r="N62" s="53"/>
      <c r="O62" s="53"/>
      <c r="P62" s="53"/>
      <c r="Q62" s="53"/>
      <c r="R62" s="53"/>
      <c r="S62" s="53"/>
      <c r="T62" s="53"/>
      <c r="U62" s="53"/>
      <c r="V62" s="53"/>
    </row>
    <row r="63" spans="1:22" ht="18">
      <c r="B63" s="55" t="s">
        <v>142</v>
      </c>
      <c r="E63" s="53"/>
      <c r="F63" s="53"/>
      <c r="G63" s="53"/>
      <c r="H63" s="53"/>
      <c r="I63" s="53"/>
      <c r="J63" s="53"/>
      <c r="K63" s="53"/>
      <c r="L63" s="53"/>
      <c r="M63" s="53"/>
      <c r="N63" s="53"/>
      <c r="O63" s="53"/>
      <c r="P63" s="53"/>
      <c r="Q63" s="53"/>
      <c r="R63" s="53"/>
      <c r="S63" s="53"/>
      <c r="T63" s="53"/>
      <c r="U63" s="53"/>
      <c r="V63" s="53"/>
    </row>
    <row r="64" spans="1:22" ht="18">
      <c r="B64" s="53"/>
      <c r="C64" s="53"/>
      <c r="D64" s="53"/>
      <c r="E64" s="53"/>
      <c r="F64" s="53"/>
      <c r="G64" s="53"/>
      <c r="H64" s="53"/>
      <c r="I64" s="53"/>
      <c r="J64" s="53"/>
      <c r="K64" s="53"/>
      <c r="L64" s="53"/>
      <c r="M64" s="53"/>
      <c r="N64" s="53"/>
      <c r="O64" s="53"/>
      <c r="P64" s="53"/>
      <c r="Q64" s="53"/>
      <c r="R64" s="53"/>
      <c r="S64" s="53"/>
      <c r="T64" s="53"/>
      <c r="U64" s="53"/>
      <c r="V64" s="53"/>
    </row>
    <row r="65" spans="1:22" ht="18">
      <c r="B65" s="53"/>
      <c r="C65" s="53"/>
      <c r="D65" s="54" t="s">
        <v>90</v>
      </c>
      <c r="E65" s="53"/>
      <c r="F65" s="53"/>
      <c r="G65" s="56" t="s">
        <v>127</v>
      </c>
      <c r="I65" s="53"/>
      <c r="J65" s="53"/>
      <c r="K65" s="53"/>
      <c r="L65" s="53"/>
      <c r="M65" s="53"/>
      <c r="N65" s="53"/>
      <c r="O65" s="53"/>
      <c r="P65" s="53"/>
      <c r="Q65" s="53"/>
      <c r="R65" s="53"/>
      <c r="S65" s="53"/>
      <c r="T65" s="53"/>
      <c r="U65" s="53"/>
      <c r="V65" s="53"/>
    </row>
    <row r="66" spans="1:22" ht="18">
      <c r="C66" s="53"/>
      <c r="D66" s="53"/>
      <c r="E66" s="53"/>
      <c r="F66" s="53"/>
      <c r="G66" s="53"/>
      <c r="H66" s="2" t="s">
        <v>91</v>
      </c>
      <c r="I66" s="53"/>
      <c r="J66" s="53"/>
      <c r="K66" s="53"/>
      <c r="L66" s="53"/>
      <c r="M66" s="53"/>
      <c r="N66" s="53"/>
      <c r="O66" s="53"/>
      <c r="P66" s="53"/>
      <c r="Q66" s="53"/>
    </row>
    <row r="67" spans="1:22" ht="18">
      <c r="D67" s="53"/>
      <c r="E67" s="53"/>
      <c r="F67" s="53"/>
      <c r="G67" s="53"/>
      <c r="H67" s="53"/>
      <c r="I67" s="53"/>
      <c r="J67" s="53"/>
      <c r="K67" s="53"/>
      <c r="L67" s="53"/>
      <c r="M67" s="53"/>
      <c r="N67" s="53"/>
      <c r="O67" s="53"/>
      <c r="P67" s="53"/>
      <c r="Q67" s="53"/>
    </row>
    <row r="68" spans="1:22" ht="18">
      <c r="C68" s="53"/>
      <c r="D68" s="54" t="s">
        <v>92</v>
      </c>
      <c r="E68" s="53"/>
      <c r="F68" s="53"/>
      <c r="G68" s="53"/>
      <c r="H68" s="53"/>
      <c r="I68" s="53"/>
      <c r="J68" s="53"/>
      <c r="K68" s="53"/>
      <c r="L68" s="53"/>
      <c r="M68" s="53"/>
      <c r="N68" s="53"/>
      <c r="O68" s="53"/>
      <c r="P68" s="53"/>
      <c r="Q68" s="53"/>
    </row>
    <row r="69" spans="1:22" ht="18">
      <c r="C69" s="53"/>
      <c r="D69" s="53"/>
      <c r="E69" s="53"/>
      <c r="F69" s="53"/>
      <c r="G69" s="53"/>
      <c r="H69" s="53"/>
      <c r="I69" s="53"/>
      <c r="J69" s="53"/>
      <c r="K69" s="53"/>
      <c r="L69" s="53"/>
      <c r="M69" s="53"/>
      <c r="N69" s="53"/>
      <c r="O69" s="53"/>
      <c r="P69" s="53"/>
      <c r="Q69" s="53"/>
    </row>
    <row r="70" spans="1:22" ht="18">
      <c r="A70" s="58" t="s">
        <v>99</v>
      </c>
      <c r="C70" s="53"/>
      <c r="D70" s="53"/>
      <c r="E70" s="53"/>
      <c r="F70" s="53"/>
      <c r="G70" s="53"/>
      <c r="H70" s="53"/>
      <c r="I70" s="53"/>
      <c r="J70" s="53"/>
      <c r="K70" s="53"/>
      <c r="L70" s="53"/>
      <c r="M70" s="53"/>
      <c r="N70" s="53"/>
      <c r="O70" s="53"/>
      <c r="P70" s="53"/>
      <c r="Q70" s="53"/>
    </row>
    <row r="71" spans="1:22" ht="18">
      <c r="B71" s="55" t="s">
        <v>104</v>
      </c>
      <c r="D71" s="53"/>
      <c r="E71" s="53"/>
      <c r="F71" s="53"/>
      <c r="G71" s="53"/>
      <c r="H71" s="53"/>
      <c r="I71" s="53"/>
      <c r="J71" s="53"/>
      <c r="K71" s="53"/>
      <c r="L71" s="53"/>
      <c r="M71" s="53"/>
      <c r="N71" s="53"/>
      <c r="O71" s="53"/>
      <c r="P71" s="53"/>
      <c r="Q71" s="53"/>
    </row>
    <row r="72" spans="1:22" ht="18">
      <c r="C72" s="55"/>
      <c r="D72" s="53"/>
      <c r="E72" s="53"/>
      <c r="F72" s="53"/>
      <c r="G72" s="53"/>
      <c r="H72" s="53"/>
      <c r="I72" s="53"/>
      <c r="J72" s="53"/>
      <c r="K72" s="53"/>
      <c r="L72" s="53"/>
      <c r="M72" s="53"/>
      <c r="N72" s="53"/>
      <c r="O72" s="53"/>
      <c r="P72" s="53"/>
      <c r="Q72" s="53"/>
    </row>
    <row r="73" spans="1:22" ht="18">
      <c r="C73" s="53" t="s">
        <v>95</v>
      </c>
      <c r="D73" s="53"/>
      <c r="E73" s="53"/>
      <c r="F73" s="53"/>
      <c r="G73" s="53"/>
      <c r="H73" s="53"/>
      <c r="I73" s="53"/>
      <c r="J73" s="53"/>
      <c r="K73" s="53"/>
      <c r="L73" s="53"/>
      <c r="M73" s="53"/>
      <c r="N73" s="53"/>
      <c r="O73" s="53"/>
      <c r="P73" s="53"/>
      <c r="Q73" s="53"/>
    </row>
    <row r="74" spans="1:22" ht="18">
      <c r="C74" s="53"/>
      <c r="D74" s="53"/>
      <c r="E74" s="53"/>
      <c r="F74" s="53"/>
      <c r="G74" s="53"/>
      <c r="H74" s="53"/>
      <c r="I74" s="53"/>
      <c r="J74" s="53"/>
      <c r="K74" s="53"/>
      <c r="L74" s="53"/>
      <c r="M74" s="53"/>
      <c r="N74" s="53"/>
      <c r="O74" s="53"/>
      <c r="P74" s="53"/>
      <c r="Q74" s="53"/>
    </row>
    <row r="75" spans="1:22" ht="18">
      <c r="C75" s="53"/>
      <c r="D75" s="53"/>
      <c r="E75" s="53"/>
      <c r="F75" s="53"/>
      <c r="G75" s="53"/>
      <c r="H75" s="53"/>
      <c r="I75" s="53"/>
      <c r="J75" s="53"/>
      <c r="K75" s="53"/>
      <c r="L75" s="53"/>
      <c r="M75" s="53"/>
      <c r="N75" s="53"/>
      <c r="O75" s="53"/>
      <c r="P75" s="53"/>
      <c r="Q75" s="53"/>
    </row>
    <row r="76" spans="1:22" ht="18">
      <c r="C76" s="53"/>
      <c r="D76" s="53"/>
      <c r="E76" s="53"/>
      <c r="F76" s="53"/>
      <c r="G76" s="53"/>
      <c r="H76" s="53"/>
      <c r="I76" s="53"/>
      <c r="J76" s="53"/>
      <c r="K76" s="53"/>
      <c r="L76" s="53"/>
      <c r="M76" s="53"/>
      <c r="N76" s="53"/>
      <c r="O76" s="53"/>
      <c r="P76" s="53"/>
      <c r="Q76" s="53"/>
    </row>
    <row r="105" spans="8:8">
      <c r="H105" s="1" t="s">
        <v>140</v>
      </c>
    </row>
    <row r="106" spans="8:8">
      <c r="H106" s="66" t="s">
        <v>141</v>
      </c>
    </row>
    <row r="116" spans="1:5">
      <c r="B116" s="7" t="s">
        <v>11</v>
      </c>
      <c r="C116" s="6"/>
      <c r="D116" s="6"/>
      <c r="E116" s="6"/>
    </row>
    <row r="117" spans="1:5">
      <c r="B117" s="6"/>
      <c r="C117" s="10" t="s">
        <v>96</v>
      </c>
      <c r="D117" s="6"/>
      <c r="E117" s="6"/>
    </row>
    <row r="118" spans="1:5">
      <c r="B118" s="6"/>
      <c r="C118" s="6" t="s">
        <v>12</v>
      </c>
      <c r="D118" s="6"/>
      <c r="E118" s="9" t="s">
        <v>0</v>
      </c>
    </row>
    <row r="120" spans="1:5" ht="18">
      <c r="A120" s="58" t="s">
        <v>131</v>
      </c>
    </row>
    <row r="121" spans="1:5">
      <c r="B121" s="1" t="s">
        <v>132</v>
      </c>
    </row>
    <row r="122" spans="1:5">
      <c r="B122" s="1" t="s">
        <v>160</v>
      </c>
    </row>
    <row r="123" spans="1:5">
      <c r="B123" t="s">
        <v>162</v>
      </c>
    </row>
    <row r="125" spans="1:5">
      <c r="B125" s="1" t="s">
        <v>161</v>
      </c>
    </row>
    <row r="151" spans="2:13">
      <c r="B151" s="3" t="s">
        <v>168</v>
      </c>
    </row>
    <row r="152" spans="2:13">
      <c r="C152" t="s">
        <v>163</v>
      </c>
      <c r="G152" s="2"/>
    </row>
    <row r="154" spans="2:13">
      <c r="C154" s="1" t="s">
        <v>165</v>
      </c>
      <c r="K154" s="2" t="s">
        <v>167</v>
      </c>
    </row>
    <row r="155" spans="2:13">
      <c r="C155" s="1" t="s">
        <v>169</v>
      </c>
    </row>
    <row r="156" spans="2:13">
      <c r="C156" s="1" t="s">
        <v>176</v>
      </c>
    </row>
    <row r="157" spans="2:13">
      <c r="C157" s="68" t="s">
        <v>116</v>
      </c>
      <c r="D157" s="69"/>
      <c r="E157" s="70"/>
      <c r="F157" s="19"/>
      <c r="G157" s="19"/>
      <c r="H157" s="19"/>
      <c r="I157" s="19"/>
      <c r="J157" s="19"/>
      <c r="K157" s="19"/>
      <c r="L157" s="19"/>
      <c r="M157" s="20"/>
    </row>
    <row r="158" spans="2:13">
      <c r="C158" s="13"/>
      <c r="D158" s="14" t="s">
        <v>166</v>
      </c>
      <c r="E158" s="14"/>
      <c r="F158" s="21"/>
      <c r="G158" s="21"/>
      <c r="H158" s="21"/>
      <c r="I158" s="21"/>
      <c r="J158" s="21"/>
      <c r="K158" s="21"/>
      <c r="L158" s="21"/>
      <c r="M158" s="22"/>
    </row>
    <row r="159" spans="2:13">
      <c r="C159" s="16"/>
      <c r="D159" s="23"/>
      <c r="E159" s="23"/>
      <c r="F159" s="23"/>
      <c r="G159" s="23"/>
      <c r="H159" s="23"/>
      <c r="I159" s="23"/>
      <c r="J159" s="23"/>
      <c r="K159" s="23"/>
      <c r="L159" s="23"/>
      <c r="M159" s="24"/>
    </row>
    <row r="161" spans="2:3" ht="14.4">
      <c r="C161" s="105" t="s">
        <v>164</v>
      </c>
    </row>
    <row r="162" spans="2:3" ht="14.4">
      <c r="C162" s="105"/>
    </row>
    <row r="163" spans="2:3">
      <c r="B163" s="3" t="s">
        <v>170</v>
      </c>
    </row>
    <row r="164" spans="2:3">
      <c r="C164" t="s">
        <v>173</v>
      </c>
    </row>
    <row r="165" spans="2:3">
      <c r="C165" s="1" t="s">
        <v>191</v>
      </c>
    </row>
    <row r="166" spans="2:3">
      <c r="C166" s="1" t="s">
        <v>171</v>
      </c>
    </row>
    <row r="167" spans="2:3">
      <c r="C167" s="1" t="s">
        <v>172</v>
      </c>
    </row>
    <row r="168" spans="2:3">
      <c r="C168" s="1"/>
    </row>
    <row r="169" spans="2:3">
      <c r="C169" s="1" t="s">
        <v>174</v>
      </c>
    </row>
    <row r="170" spans="2:3">
      <c r="C170" s="1" t="s">
        <v>175</v>
      </c>
    </row>
  </sheetData>
  <phoneticPr fontId="2"/>
  <hyperlinks>
    <hyperlink ref="C14" r:id="rId1" xr:uid="{325E7D79-E333-4AC3-B6F6-04984BF1ADB1}"/>
    <hyperlink ref="H66" r:id="rId2" display="https://docs.spyder-ide.org/current/index.html" xr:uid="{0E5D24AC-FB24-4412-98B4-69DE14FF5A79}"/>
    <hyperlink ref="E118" r:id="rId3" xr:uid="{E8E00337-0C4C-4C2E-968F-8475EC08BEE8}"/>
    <hyperlink ref="C47" r:id="rId4" xr:uid="{4F13CDAE-F409-49A0-9BFE-8B4E06F113E8}"/>
    <hyperlink ref="J47" r:id="rId5" xr:uid="{41958870-DD55-401E-A001-3627B389BB14}"/>
    <hyperlink ref="K154" r:id="rId6" xr:uid="{ECF88300-1D31-49A3-B037-FFF0BA564492}"/>
  </hyperlinks>
  <pageMargins left="0.7" right="0.7" top="0.75" bottom="0.75" header="0.3" footer="0.3"/>
  <pageSetup scale="53" orientation="portrait" r:id="rId7"/>
  <rowBreaks count="2" manualBreakCount="2">
    <brk id="61" max="16383" man="1"/>
    <brk id="119" max="16383" man="1"/>
  </rowBreaks>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ECB6E-DE50-40B6-9D5E-4BC981B977FA}">
  <dimension ref="A1:BU143"/>
  <sheetViews>
    <sheetView zoomScaleNormal="100" workbookViewId="0">
      <pane ySplit="9" topLeftCell="A10" activePane="bottomLeft" state="frozen"/>
      <selection pane="bottomLeft" activeCell="A10" sqref="A10"/>
    </sheetView>
  </sheetViews>
  <sheetFormatPr defaultColWidth="5.69921875" defaultRowHeight="13.8"/>
  <cols>
    <col min="1" max="1" width="5.69921875" style="106"/>
    <col min="2" max="73" width="4.796875" style="106" customWidth="1"/>
    <col min="74" max="16384" width="5.69921875" style="106"/>
  </cols>
  <sheetData>
    <row r="1" spans="1:73" ht="14.4" thickBot="1">
      <c r="F1" s="107"/>
      <c r="G1" s="107"/>
      <c r="V1" s="106" t="s">
        <v>194</v>
      </c>
      <c r="AF1" s="106" t="s">
        <v>195</v>
      </c>
    </row>
    <row r="2" spans="1:73">
      <c r="F2" s="107"/>
      <c r="G2" s="107"/>
      <c r="I2" s="108" t="s">
        <v>196</v>
      </c>
      <c r="J2" s="109" t="s">
        <v>197</v>
      </c>
      <c r="L2" s="110">
        <v>1</v>
      </c>
      <c r="M2" s="185">
        <v>1</v>
      </c>
      <c r="N2" s="186"/>
      <c r="O2" s="186"/>
      <c r="P2" s="186"/>
      <c r="Q2" s="186" t="s">
        <v>198</v>
      </c>
      <c r="R2" s="186"/>
      <c r="S2" s="186"/>
      <c r="T2" s="187"/>
      <c r="V2" s="110"/>
      <c r="W2" s="185">
        <v>0</v>
      </c>
      <c r="X2" s="186"/>
      <c r="Y2" s="186"/>
      <c r="Z2" s="186"/>
      <c r="AA2" s="186">
        <v>0</v>
      </c>
      <c r="AB2" s="186"/>
      <c r="AC2" s="186"/>
      <c r="AD2" s="187"/>
      <c r="AF2" s="110"/>
      <c r="AG2" s="185" t="s">
        <v>199</v>
      </c>
      <c r="AH2" s="186"/>
      <c r="AI2" s="186"/>
      <c r="AJ2" s="186"/>
      <c r="AK2" s="186" t="s">
        <v>199</v>
      </c>
      <c r="AL2" s="186"/>
      <c r="AM2" s="186"/>
      <c r="AN2" s="187"/>
    </row>
    <row r="3" spans="1:73" ht="14.4" thickBot="1">
      <c r="F3" s="107"/>
      <c r="G3" s="107"/>
      <c r="I3" s="108"/>
      <c r="J3" s="109"/>
      <c r="L3" s="110"/>
      <c r="M3" s="188" t="str">
        <f t="shared" ref="M3" si="0">HEX2BIN(M2,4)</f>
        <v>0001</v>
      </c>
      <c r="N3" s="183"/>
      <c r="O3" s="183"/>
      <c r="P3" s="183"/>
      <c r="Q3" s="183" t="str">
        <f t="shared" ref="Q3" si="1">HEX2BIN(Q2,4)</f>
        <v>1101</v>
      </c>
      <c r="R3" s="183"/>
      <c r="S3" s="183"/>
      <c r="T3" s="184"/>
      <c r="V3" s="110"/>
      <c r="W3" s="188" t="str">
        <f t="shared" ref="W3" si="2">HEX2BIN(W2,4)</f>
        <v>0000</v>
      </c>
      <c r="X3" s="183"/>
      <c r="Y3" s="183"/>
      <c r="Z3" s="183"/>
      <c r="AA3" s="183" t="str">
        <f t="shared" ref="AA3" si="3">HEX2BIN(AA2,4)</f>
        <v>0000</v>
      </c>
      <c r="AB3" s="183"/>
      <c r="AC3" s="183"/>
      <c r="AD3" s="184"/>
      <c r="AF3" s="110"/>
      <c r="AG3" s="188" t="str">
        <f t="shared" ref="AG3" si="4">HEX2BIN(AG2,4)</f>
        <v>1111</v>
      </c>
      <c r="AH3" s="183"/>
      <c r="AI3" s="183"/>
      <c r="AJ3" s="183"/>
      <c r="AK3" s="183" t="str">
        <f t="shared" ref="AK3" si="5">HEX2BIN(AK2,4)</f>
        <v>1111</v>
      </c>
      <c r="AL3" s="183"/>
      <c r="AM3" s="183"/>
      <c r="AN3" s="184"/>
    </row>
    <row r="4" spans="1:73" ht="14.4" thickBot="1">
      <c r="F4" s="111" t="s">
        <v>200</v>
      </c>
      <c r="G4" s="106" t="s">
        <v>201</v>
      </c>
      <c r="H4" s="106" t="s">
        <v>202</v>
      </c>
      <c r="I4" s="112" t="str">
        <f>HEX2BIN(G4)</f>
        <v>100011101</v>
      </c>
      <c r="J4" s="107"/>
      <c r="L4" s="113">
        <v>1</v>
      </c>
      <c r="M4" s="114" t="str">
        <f>LEFT(M3,1)</f>
        <v>0</v>
      </c>
      <c r="N4" s="115" t="str">
        <f>RIGHT(LEFT(M3,2),1)</f>
        <v>0</v>
      </c>
      <c r="O4" s="115" t="str">
        <f>RIGHT(LEFT(M3,3),1)</f>
        <v>0</v>
      </c>
      <c r="P4" s="115" t="str">
        <f>RIGHT(LEFT(M3,4),1)</f>
        <v>1</v>
      </c>
      <c r="Q4" s="115" t="str">
        <f>LEFT(Q3,1)</f>
        <v>1</v>
      </c>
      <c r="R4" s="115" t="str">
        <f>RIGHT(LEFT(Q3,2),1)</f>
        <v>1</v>
      </c>
      <c r="S4" s="115" t="str">
        <f>RIGHT(LEFT(Q3,3),1)</f>
        <v>0</v>
      </c>
      <c r="T4" s="116" t="str">
        <f>RIGHT(LEFT(Q3,4),1)</f>
        <v>1</v>
      </c>
      <c r="V4" s="113"/>
      <c r="W4" s="117" t="str">
        <f>LEFT(W3,1)</f>
        <v>0</v>
      </c>
      <c r="X4" s="118" t="str">
        <f>RIGHT(LEFT(W3,2),1)</f>
        <v>0</v>
      </c>
      <c r="Y4" s="118" t="str">
        <f>RIGHT(LEFT(W3,3),1)</f>
        <v>0</v>
      </c>
      <c r="Z4" s="118" t="str">
        <f>RIGHT(LEFT(W3,4),1)</f>
        <v>0</v>
      </c>
      <c r="AA4" s="118" t="str">
        <f>LEFT(AA3,1)</f>
        <v>0</v>
      </c>
      <c r="AB4" s="118" t="str">
        <f>RIGHT(LEFT(AA3,2),1)</f>
        <v>0</v>
      </c>
      <c r="AC4" s="118" t="str">
        <f>RIGHT(LEFT(AA3,3),1)</f>
        <v>0</v>
      </c>
      <c r="AD4" s="119" t="str">
        <f>RIGHT(LEFT(AA3,4),1)</f>
        <v>0</v>
      </c>
      <c r="AF4" s="113"/>
      <c r="AG4" s="117" t="str">
        <f>LEFT(AG3,1)</f>
        <v>1</v>
      </c>
      <c r="AH4" s="118" t="str">
        <f>RIGHT(LEFT(AG3,2),1)</f>
        <v>1</v>
      </c>
      <c r="AI4" s="118" t="str">
        <f>RIGHT(LEFT(AG3,3),1)</f>
        <v>1</v>
      </c>
      <c r="AJ4" s="118" t="str">
        <f>RIGHT(LEFT(AG3,4),1)</f>
        <v>1</v>
      </c>
      <c r="AK4" s="118" t="str">
        <f>LEFT(AK3,1)</f>
        <v>1</v>
      </c>
      <c r="AL4" s="118" t="str">
        <f>RIGHT(LEFT(AK3,2),1)</f>
        <v>1</v>
      </c>
      <c r="AM4" s="118" t="str">
        <f>RIGHT(LEFT(AK3,3),1)</f>
        <v>1</v>
      </c>
      <c r="AN4" s="119" t="str">
        <f>RIGHT(LEFT(AK3,4),1)</f>
        <v>1</v>
      </c>
    </row>
    <row r="5" spans="1:73" ht="14.4" thickBot="1">
      <c r="F5" s="107"/>
      <c r="G5" s="107"/>
      <c r="I5" s="108"/>
      <c r="J5" s="109"/>
    </row>
    <row r="6" spans="1:73">
      <c r="A6" s="106" t="s">
        <v>203</v>
      </c>
      <c r="B6" s="177" t="s">
        <v>204</v>
      </c>
      <c r="C6" s="178"/>
      <c r="D6" s="178"/>
      <c r="E6" s="178"/>
      <c r="F6" s="178"/>
      <c r="G6" s="178"/>
      <c r="H6" s="178"/>
      <c r="I6" s="179"/>
      <c r="J6" s="177" t="s">
        <v>205</v>
      </c>
      <c r="K6" s="178"/>
      <c r="L6" s="178"/>
      <c r="M6" s="178"/>
      <c r="N6" s="178"/>
      <c r="O6" s="178"/>
      <c r="P6" s="178"/>
      <c r="Q6" s="178"/>
      <c r="R6" s="182" t="s">
        <v>206</v>
      </c>
      <c r="S6" s="178"/>
      <c r="T6" s="178"/>
      <c r="U6" s="178"/>
      <c r="V6" s="178"/>
      <c r="W6" s="178"/>
      <c r="X6" s="178"/>
      <c r="Y6" s="179"/>
      <c r="Z6" s="177" t="s">
        <v>207</v>
      </c>
      <c r="AA6" s="178"/>
      <c r="AB6" s="178"/>
      <c r="AC6" s="178"/>
      <c r="AD6" s="178"/>
      <c r="AE6" s="178"/>
      <c r="AF6" s="178"/>
      <c r="AG6" s="179"/>
      <c r="AH6" s="177" t="s">
        <v>208</v>
      </c>
      <c r="AI6" s="178"/>
      <c r="AJ6" s="178"/>
      <c r="AK6" s="178"/>
      <c r="AL6" s="178"/>
      <c r="AM6" s="178"/>
      <c r="AN6" s="178"/>
      <c r="AO6" s="180"/>
      <c r="AP6" s="177" t="s">
        <v>209</v>
      </c>
      <c r="AQ6" s="178"/>
      <c r="AR6" s="178"/>
      <c r="AS6" s="178"/>
      <c r="AT6" s="178"/>
      <c r="AU6" s="178"/>
      <c r="AV6" s="178"/>
      <c r="AW6" s="179"/>
      <c r="AX6" s="177" t="s">
        <v>210</v>
      </c>
      <c r="AY6" s="178"/>
      <c r="AZ6" s="178"/>
      <c r="BA6" s="178"/>
      <c r="BB6" s="178"/>
      <c r="BC6" s="178"/>
      <c r="BD6" s="178"/>
      <c r="BE6" s="179"/>
      <c r="BF6" s="177" t="s">
        <v>211</v>
      </c>
      <c r="BG6" s="178"/>
      <c r="BH6" s="178"/>
      <c r="BI6" s="178"/>
      <c r="BJ6" s="178"/>
      <c r="BK6" s="178"/>
      <c r="BL6" s="178"/>
      <c r="BM6" s="180"/>
      <c r="BN6" s="177" t="s">
        <v>212</v>
      </c>
      <c r="BO6" s="178"/>
      <c r="BP6" s="178"/>
      <c r="BQ6" s="178"/>
      <c r="BR6" s="178"/>
      <c r="BS6" s="178"/>
      <c r="BT6" s="178"/>
      <c r="BU6" s="179"/>
    </row>
    <row r="7" spans="1:73">
      <c r="A7" s="106" t="s">
        <v>213</v>
      </c>
      <c r="B7" s="176" t="s">
        <v>220</v>
      </c>
      <c r="C7" s="173"/>
      <c r="D7" s="173"/>
      <c r="E7" s="173"/>
      <c r="F7" s="173" t="s">
        <v>220</v>
      </c>
      <c r="G7" s="173"/>
      <c r="H7" s="173"/>
      <c r="I7" s="181"/>
      <c r="J7" s="176">
        <v>1</v>
      </c>
      <c r="K7" s="173"/>
      <c r="L7" s="173"/>
      <c r="M7" s="173"/>
      <c r="N7" s="173">
        <v>1</v>
      </c>
      <c r="O7" s="173"/>
      <c r="P7" s="173"/>
      <c r="Q7" s="173"/>
      <c r="R7" s="172">
        <v>0</v>
      </c>
      <c r="S7" s="173"/>
      <c r="T7" s="173"/>
      <c r="U7" s="173"/>
      <c r="V7" s="173">
        <v>0</v>
      </c>
      <c r="W7" s="173"/>
      <c r="X7" s="173"/>
      <c r="Y7" s="181"/>
      <c r="Z7" s="176">
        <v>0</v>
      </c>
      <c r="AA7" s="173"/>
      <c r="AB7" s="173"/>
      <c r="AC7" s="173"/>
      <c r="AD7" s="173">
        <v>0</v>
      </c>
      <c r="AE7" s="173"/>
      <c r="AF7" s="173"/>
      <c r="AG7" s="175"/>
      <c r="AH7" s="176">
        <v>0</v>
      </c>
      <c r="AI7" s="173"/>
      <c r="AJ7" s="173"/>
      <c r="AK7" s="173"/>
      <c r="AL7" s="173">
        <v>0</v>
      </c>
      <c r="AM7" s="173"/>
      <c r="AN7" s="173"/>
      <c r="AO7" s="175"/>
      <c r="AP7" s="176">
        <v>0</v>
      </c>
      <c r="AQ7" s="173"/>
      <c r="AR7" s="173"/>
      <c r="AS7" s="173"/>
      <c r="AT7" s="173">
        <v>0</v>
      </c>
      <c r="AU7" s="173"/>
      <c r="AV7" s="173"/>
      <c r="AW7" s="175"/>
      <c r="AX7" s="176">
        <v>0</v>
      </c>
      <c r="AY7" s="173"/>
      <c r="AZ7" s="173"/>
      <c r="BA7" s="173"/>
      <c r="BB7" s="173">
        <v>0</v>
      </c>
      <c r="BC7" s="173"/>
      <c r="BD7" s="173"/>
      <c r="BE7" s="175"/>
      <c r="BF7" s="176">
        <v>0</v>
      </c>
      <c r="BG7" s="173"/>
      <c r="BH7" s="173"/>
      <c r="BI7" s="173"/>
      <c r="BJ7" s="173">
        <v>0</v>
      </c>
      <c r="BK7" s="173"/>
      <c r="BL7" s="173"/>
      <c r="BM7" s="173"/>
      <c r="BN7" s="172">
        <v>0</v>
      </c>
      <c r="BO7" s="173"/>
      <c r="BP7" s="173"/>
      <c r="BQ7" s="173"/>
      <c r="BR7" s="173">
        <v>0</v>
      </c>
      <c r="BS7" s="173"/>
      <c r="BT7" s="173"/>
      <c r="BU7" s="175"/>
    </row>
    <row r="8" spans="1:73">
      <c r="A8" s="106" t="s">
        <v>215</v>
      </c>
      <c r="B8" s="170" t="str">
        <f>HEX2BIN(B7,4)</f>
        <v>1111</v>
      </c>
      <c r="C8" s="168"/>
      <c r="D8" s="168"/>
      <c r="E8" s="168"/>
      <c r="F8" s="171" t="str">
        <f>HEX2BIN(F7,4)</f>
        <v>1111</v>
      </c>
      <c r="G8" s="168"/>
      <c r="H8" s="168"/>
      <c r="I8" s="168"/>
      <c r="J8" s="168" t="str">
        <f t="shared" ref="J8" si="6">HEX2BIN(J7,4)</f>
        <v>0001</v>
      </c>
      <c r="K8" s="168"/>
      <c r="L8" s="168"/>
      <c r="M8" s="168"/>
      <c r="N8" s="168" t="str">
        <f t="shared" ref="N8" si="7">HEX2BIN(N7,4)</f>
        <v>0001</v>
      </c>
      <c r="O8" s="168"/>
      <c r="P8" s="168"/>
      <c r="Q8" s="168"/>
      <c r="R8" s="171" t="str">
        <f t="shared" ref="R8" si="8">HEX2BIN(R7,4)</f>
        <v>0000</v>
      </c>
      <c r="S8" s="168"/>
      <c r="T8" s="168"/>
      <c r="U8" s="168"/>
      <c r="V8" s="168" t="str">
        <f t="shared" ref="V8" si="9">HEX2BIN(V7,4)</f>
        <v>0000</v>
      </c>
      <c r="W8" s="168"/>
      <c r="X8" s="168"/>
      <c r="Y8" s="174"/>
      <c r="Z8" s="170" t="str">
        <f t="shared" ref="Z8" si="10">HEX2BIN(Z7,4)</f>
        <v>0000</v>
      </c>
      <c r="AA8" s="168"/>
      <c r="AB8" s="168"/>
      <c r="AC8" s="168"/>
      <c r="AD8" s="168" t="str">
        <f t="shared" ref="AD8" si="11">HEX2BIN(AD7,4)</f>
        <v>0000</v>
      </c>
      <c r="AE8" s="168"/>
      <c r="AF8" s="168"/>
      <c r="AG8" s="169"/>
      <c r="AH8" s="170" t="str">
        <f t="shared" ref="AH8" si="12">HEX2BIN(AH7,4)</f>
        <v>0000</v>
      </c>
      <c r="AI8" s="168"/>
      <c r="AJ8" s="168"/>
      <c r="AK8" s="168"/>
      <c r="AL8" s="168" t="str">
        <f t="shared" ref="AL8" si="13">HEX2BIN(AL7,4)</f>
        <v>0000</v>
      </c>
      <c r="AM8" s="168"/>
      <c r="AN8" s="168"/>
      <c r="AO8" s="169"/>
      <c r="AP8" s="170" t="str">
        <f t="shared" ref="AP8" si="14">HEX2BIN(AP7,4)</f>
        <v>0000</v>
      </c>
      <c r="AQ8" s="168"/>
      <c r="AR8" s="168"/>
      <c r="AS8" s="168"/>
      <c r="AT8" s="168" t="str">
        <f t="shared" ref="AT8" si="15">HEX2BIN(AT7,4)</f>
        <v>0000</v>
      </c>
      <c r="AU8" s="168"/>
      <c r="AV8" s="168"/>
      <c r="AW8" s="169"/>
      <c r="AX8" s="170" t="str">
        <f t="shared" ref="AX8" si="16">HEX2BIN(AX7,4)</f>
        <v>0000</v>
      </c>
      <c r="AY8" s="168"/>
      <c r="AZ8" s="168"/>
      <c r="BA8" s="168"/>
      <c r="BB8" s="168" t="str">
        <f t="shared" ref="BB8" si="17">HEX2BIN(BB7,4)</f>
        <v>0000</v>
      </c>
      <c r="BC8" s="168"/>
      <c r="BD8" s="168"/>
      <c r="BE8" s="169"/>
      <c r="BF8" s="170" t="str">
        <f t="shared" ref="BF8" si="18">HEX2BIN(BF7,4)</f>
        <v>0000</v>
      </c>
      <c r="BG8" s="168"/>
      <c r="BH8" s="168"/>
      <c r="BI8" s="168"/>
      <c r="BJ8" s="168" t="str">
        <f t="shared" ref="BJ8" si="19">HEX2BIN(BJ7,4)</f>
        <v>0000</v>
      </c>
      <c r="BK8" s="168"/>
      <c r="BL8" s="168"/>
      <c r="BM8" s="168"/>
      <c r="BN8" s="171" t="str">
        <f t="shared" ref="BN8" si="20">HEX2BIN(BN7,4)</f>
        <v>0000</v>
      </c>
      <c r="BO8" s="168"/>
      <c r="BP8" s="168"/>
      <c r="BQ8" s="168"/>
      <c r="BR8" s="168" t="str">
        <f t="shared" ref="BR8" si="21">HEX2BIN(BR7,4)</f>
        <v>0000</v>
      </c>
      <c r="BS8" s="168"/>
      <c r="BT8" s="168"/>
      <c r="BU8" s="169"/>
    </row>
    <row r="9" spans="1:73" ht="14.4" thickBot="1">
      <c r="B9" s="120" t="str">
        <f>LEFT(B8,1)</f>
        <v>1</v>
      </c>
      <c r="C9" s="121" t="str">
        <f>RIGHT(LEFT(B8,2),1)</f>
        <v>1</v>
      </c>
      <c r="D9" s="121" t="str">
        <f>RIGHT(LEFT(B8,3),1)</f>
        <v>1</v>
      </c>
      <c r="E9" s="121" t="str">
        <f>RIGHT(LEFT(B8,4),1)</f>
        <v>1</v>
      </c>
      <c r="F9" s="121" t="str">
        <f>LEFT(F8,1)</f>
        <v>1</v>
      </c>
      <c r="G9" s="121" t="str">
        <f>RIGHT(LEFT(F8,2),1)</f>
        <v>1</v>
      </c>
      <c r="H9" s="121" t="str">
        <f>RIGHT(LEFT(F8,3),1)</f>
        <v>1</v>
      </c>
      <c r="I9" s="122" t="str">
        <f>RIGHT(LEFT(F8,4),1)</f>
        <v>1</v>
      </c>
      <c r="J9" s="121" t="str">
        <f>LEFT(J8,1)</f>
        <v>0</v>
      </c>
      <c r="K9" s="121" t="str">
        <f>RIGHT(LEFT(J8,2),1)</f>
        <v>0</v>
      </c>
      <c r="L9" s="121" t="str">
        <f>RIGHT(LEFT(J8,3),1)</f>
        <v>0</v>
      </c>
      <c r="M9" s="122" t="str">
        <f>RIGHT(LEFT(J8,4),1)</f>
        <v>1</v>
      </c>
      <c r="N9" s="121" t="str">
        <f>LEFT(N8,1)</f>
        <v>0</v>
      </c>
      <c r="O9" s="121" t="str">
        <f>RIGHT(LEFT(N8,2),1)</f>
        <v>0</v>
      </c>
      <c r="P9" s="121" t="str">
        <f>RIGHT(LEFT(N8,3),1)</f>
        <v>0</v>
      </c>
      <c r="Q9" s="121" t="str">
        <f>RIGHT(LEFT(N8,4),1)</f>
        <v>1</v>
      </c>
      <c r="R9" s="123" t="str">
        <f>LEFT(R8,1)</f>
        <v>0</v>
      </c>
      <c r="S9" s="121" t="str">
        <f>RIGHT(LEFT(R8,2),1)</f>
        <v>0</v>
      </c>
      <c r="T9" s="121" t="str">
        <f>RIGHT(LEFT(R8,3),1)</f>
        <v>0</v>
      </c>
      <c r="U9" s="121" t="str">
        <f>RIGHT(LEFT(R8,4),1)</f>
        <v>0</v>
      </c>
      <c r="V9" s="121" t="str">
        <f>LEFT(V8,1)</f>
        <v>0</v>
      </c>
      <c r="W9" s="121" t="str">
        <f>RIGHT(LEFT(V8,2),1)</f>
        <v>0</v>
      </c>
      <c r="X9" s="121" t="str">
        <f>RIGHT(LEFT(V8,3),1)</f>
        <v>0</v>
      </c>
      <c r="Y9" s="122" t="str">
        <f>RIGHT(LEFT(V8,4),1)</f>
        <v>0</v>
      </c>
      <c r="Z9" s="120" t="str">
        <f>LEFT(Z8,1)</f>
        <v>0</v>
      </c>
      <c r="AA9" s="121" t="str">
        <f>RIGHT(LEFT(Z8,2),1)</f>
        <v>0</v>
      </c>
      <c r="AB9" s="121" t="str">
        <f>RIGHT(LEFT(Z8,3),1)</f>
        <v>0</v>
      </c>
      <c r="AC9" s="121" t="str">
        <f>RIGHT(LEFT(Z8,4),1)</f>
        <v>0</v>
      </c>
      <c r="AD9" s="121" t="str">
        <f>LEFT(AD8,1)</f>
        <v>0</v>
      </c>
      <c r="AE9" s="121" t="str">
        <f>RIGHT(LEFT(AD8,2),1)</f>
        <v>0</v>
      </c>
      <c r="AF9" s="121" t="str">
        <f>RIGHT(LEFT(AD8,3),1)</f>
        <v>0</v>
      </c>
      <c r="AG9" s="124" t="str">
        <f>RIGHT(LEFT(AD8,4),1)</f>
        <v>0</v>
      </c>
      <c r="AH9" s="120" t="str">
        <f>LEFT(AH8,1)</f>
        <v>0</v>
      </c>
      <c r="AI9" s="121" t="str">
        <f>RIGHT(LEFT(AH8,2),1)</f>
        <v>0</v>
      </c>
      <c r="AJ9" s="121" t="str">
        <f>RIGHT(LEFT(AH8,3),1)</f>
        <v>0</v>
      </c>
      <c r="AK9" s="121" t="str">
        <f>RIGHT(LEFT(AH8,4),1)</f>
        <v>0</v>
      </c>
      <c r="AL9" s="121" t="str">
        <f>LEFT(AL8,1)</f>
        <v>0</v>
      </c>
      <c r="AM9" s="121" t="str">
        <f>RIGHT(LEFT(AL8,2),1)</f>
        <v>0</v>
      </c>
      <c r="AN9" s="121" t="str">
        <f>RIGHT(LEFT(AL8,3),1)</f>
        <v>0</v>
      </c>
      <c r="AO9" s="124" t="str">
        <f>RIGHT(LEFT(AL8,4),1)</f>
        <v>0</v>
      </c>
      <c r="AP9" s="120" t="str">
        <f>LEFT(AP8,1)</f>
        <v>0</v>
      </c>
      <c r="AQ9" s="121" t="str">
        <f>RIGHT(LEFT(AP8,2),1)</f>
        <v>0</v>
      </c>
      <c r="AR9" s="121" t="str">
        <f>RIGHT(LEFT(AP8,3),1)</f>
        <v>0</v>
      </c>
      <c r="AS9" s="121" t="str">
        <f>RIGHT(LEFT(AP8,4),1)</f>
        <v>0</v>
      </c>
      <c r="AT9" s="121" t="str">
        <f>LEFT(AT8,1)</f>
        <v>0</v>
      </c>
      <c r="AU9" s="121" t="str">
        <f>RIGHT(LEFT(AT8,2),1)</f>
        <v>0</v>
      </c>
      <c r="AV9" s="121" t="str">
        <f>RIGHT(LEFT(AT8,3),1)</f>
        <v>0</v>
      </c>
      <c r="AW9" s="124" t="str">
        <f>RIGHT(LEFT(AT8,4),1)</f>
        <v>0</v>
      </c>
      <c r="AX9" s="120" t="str">
        <f>LEFT(AX8,1)</f>
        <v>0</v>
      </c>
      <c r="AY9" s="121" t="str">
        <f>RIGHT(LEFT(AX8,2),1)</f>
        <v>0</v>
      </c>
      <c r="AZ9" s="121" t="str">
        <f>RIGHT(LEFT(AX8,3),1)</f>
        <v>0</v>
      </c>
      <c r="BA9" s="121" t="str">
        <f>RIGHT(LEFT(AX8,4),1)</f>
        <v>0</v>
      </c>
      <c r="BB9" s="121" t="str">
        <f>LEFT(BB8,1)</f>
        <v>0</v>
      </c>
      <c r="BC9" s="121" t="str">
        <f>RIGHT(LEFT(BB8,2),1)</f>
        <v>0</v>
      </c>
      <c r="BD9" s="121" t="str">
        <f>RIGHT(LEFT(BB8,3),1)</f>
        <v>0</v>
      </c>
      <c r="BE9" s="124" t="str">
        <f>RIGHT(LEFT(BB8,4),1)</f>
        <v>0</v>
      </c>
      <c r="BF9" s="120" t="str">
        <f>LEFT(BF8,1)</f>
        <v>0</v>
      </c>
      <c r="BG9" s="121" t="str">
        <f>RIGHT(LEFT(BF8,2),1)</f>
        <v>0</v>
      </c>
      <c r="BH9" s="121" t="str">
        <f>RIGHT(LEFT(BF8,3),1)</f>
        <v>0</v>
      </c>
      <c r="BI9" s="121" t="str">
        <f>RIGHT(LEFT(BF8,4),1)</f>
        <v>0</v>
      </c>
      <c r="BJ9" s="121" t="str">
        <f>LEFT(BJ8,1)</f>
        <v>0</v>
      </c>
      <c r="BK9" s="121" t="str">
        <f>RIGHT(LEFT(BJ8,2),1)</f>
        <v>0</v>
      </c>
      <c r="BL9" s="121" t="str">
        <f>RIGHT(LEFT(BJ8,3),1)</f>
        <v>0</v>
      </c>
      <c r="BM9" s="121" t="str">
        <f>RIGHT(LEFT(BJ8,4),1)</f>
        <v>0</v>
      </c>
      <c r="BN9" s="123" t="str">
        <f>LEFT(BN8,1)</f>
        <v>0</v>
      </c>
      <c r="BO9" s="121" t="str">
        <f>RIGHT(LEFT(BN8,2),1)</f>
        <v>0</v>
      </c>
      <c r="BP9" s="121" t="str">
        <f>RIGHT(LEFT(BN8,3),1)</f>
        <v>0</v>
      </c>
      <c r="BQ9" s="121" t="str">
        <f>RIGHT(LEFT(BN8,4),1)</f>
        <v>0</v>
      </c>
      <c r="BR9" s="121" t="str">
        <f>LEFT(BR8,1)</f>
        <v>0</v>
      </c>
      <c r="BS9" s="121" t="str">
        <f>RIGHT(LEFT(BR8,2),1)</f>
        <v>0</v>
      </c>
      <c r="BT9" s="121" t="str">
        <f>RIGHT(LEFT(BR8,3),1)</f>
        <v>0</v>
      </c>
      <c r="BU9" s="124" t="str">
        <f>RIGHT(LEFT(BR8,4),1)</f>
        <v>0</v>
      </c>
    </row>
    <row r="10" spans="1:73" ht="14.4" thickBot="1">
      <c r="A10" s="107" t="s">
        <v>194</v>
      </c>
      <c r="B10" s="117" t="s">
        <v>216</v>
      </c>
      <c r="C10" s="118" t="s">
        <v>216</v>
      </c>
      <c r="D10" s="118" t="s">
        <v>216</v>
      </c>
      <c r="E10" s="118" t="s">
        <v>216</v>
      </c>
      <c r="F10" s="118" t="s">
        <v>216</v>
      </c>
      <c r="G10" s="118" t="s">
        <v>216</v>
      </c>
      <c r="H10" s="118" t="s">
        <v>216</v>
      </c>
      <c r="I10" s="119" t="s">
        <v>216</v>
      </c>
      <c r="Q10" s="125"/>
      <c r="BM10" s="126"/>
    </row>
    <row r="11" spans="1:73" ht="14.4" thickBot="1">
      <c r="B11" s="127">
        <f t="shared" ref="B11:I11" si="22">IF(B9+B10=1,1,0)</f>
        <v>0</v>
      </c>
      <c r="C11" s="127">
        <f t="shared" si="22"/>
        <v>0</v>
      </c>
      <c r="D11" s="127">
        <f t="shared" si="22"/>
        <v>0</v>
      </c>
      <c r="E11" s="128">
        <f t="shared" si="22"/>
        <v>0</v>
      </c>
      <c r="F11" s="127">
        <f t="shared" si="22"/>
        <v>0</v>
      </c>
      <c r="G11" s="127">
        <f t="shared" si="22"/>
        <v>0</v>
      </c>
      <c r="H11" s="127">
        <f t="shared" si="22"/>
        <v>0</v>
      </c>
      <c r="I11" s="129">
        <f t="shared" si="22"/>
        <v>0</v>
      </c>
      <c r="M11" s="106">
        <v>1</v>
      </c>
      <c r="Q11" s="126">
        <v>1</v>
      </c>
      <c r="BM11" s="126"/>
    </row>
    <row r="12" spans="1:73" ht="14.4" thickBot="1">
      <c r="M12" s="113">
        <v>1</v>
      </c>
      <c r="N12" s="114" t="s">
        <v>217</v>
      </c>
      <c r="O12" s="115" t="s">
        <v>217</v>
      </c>
      <c r="P12" s="115" t="s">
        <v>217</v>
      </c>
      <c r="Q12" s="115" t="s">
        <v>216</v>
      </c>
      <c r="R12" s="115" t="s">
        <v>216</v>
      </c>
      <c r="S12" s="115" t="s">
        <v>216</v>
      </c>
      <c r="T12" s="115" t="s">
        <v>217</v>
      </c>
      <c r="U12" s="116" t="s">
        <v>216</v>
      </c>
      <c r="BM12" s="126"/>
    </row>
    <row r="13" spans="1:73" ht="14.4" thickBot="1">
      <c r="N13" s="127">
        <f t="shared" ref="N13:U13" si="23">IF(N11+N12=1,1,0)</f>
        <v>0</v>
      </c>
      <c r="O13" s="127">
        <f t="shared" si="23"/>
        <v>0</v>
      </c>
      <c r="P13" s="127">
        <f t="shared" si="23"/>
        <v>0</v>
      </c>
      <c r="Q13" s="128">
        <f t="shared" si="23"/>
        <v>0</v>
      </c>
      <c r="R13" s="127">
        <f t="shared" si="23"/>
        <v>1</v>
      </c>
      <c r="S13" s="127">
        <f t="shared" si="23"/>
        <v>1</v>
      </c>
      <c r="T13" s="127">
        <f t="shared" si="23"/>
        <v>0</v>
      </c>
      <c r="U13" s="129">
        <f t="shared" si="23"/>
        <v>1</v>
      </c>
      <c r="V13" s="135">
        <v>0</v>
      </c>
      <c r="W13" s="135">
        <v>0</v>
      </c>
      <c r="X13" s="135">
        <v>0</v>
      </c>
      <c r="Y13" s="135">
        <v>0</v>
      </c>
      <c r="BM13" s="126"/>
    </row>
    <row r="14" spans="1:73" ht="14.4" thickBot="1">
      <c r="P14" s="107" t="s">
        <v>221</v>
      </c>
      <c r="R14" s="117" t="s">
        <v>216</v>
      </c>
      <c r="S14" s="118" t="s">
        <v>216</v>
      </c>
      <c r="T14" s="118" t="s">
        <v>216</v>
      </c>
      <c r="U14" s="118" t="s">
        <v>216</v>
      </c>
      <c r="V14" s="118" t="s">
        <v>216</v>
      </c>
      <c r="W14" s="118" t="s">
        <v>216</v>
      </c>
      <c r="X14" s="118" t="s">
        <v>216</v>
      </c>
      <c r="Y14" s="119" t="s">
        <v>216</v>
      </c>
      <c r="Z14" s="107"/>
      <c r="BM14" s="126"/>
    </row>
    <row r="15" spans="1:73">
      <c r="N15" s="127"/>
      <c r="O15" s="127"/>
      <c r="P15" s="132" t="s">
        <v>218</v>
      </c>
      <c r="Q15" s="132" t="s">
        <v>219</v>
      </c>
      <c r="R15" s="127">
        <f t="shared" ref="R15:Y15" si="24">IF(R13+R14=1,1,0)</f>
        <v>0</v>
      </c>
      <c r="S15" s="127">
        <f t="shared" si="24"/>
        <v>0</v>
      </c>
      <c r="T15" s="127">
        <f t="shared" si="24"/>
        <v>1</v>
      </c>
      <c r="U15" s="128">
        <f t="shared" si="24"/>
        <v>0</v>
      </c>
      <c r="V15" s="127">
        <f t="shared" si="24"/>
        <v>1</v>
      </c>
      <c r="W15" s="127">
        <f t="shared" si="24"/>
        <v>1</v>
      </c>
      <c r="X15" s="127">
        <f t="shared" si="24"/>
        <v>1</v>
      </c>
      <c r="Y15" s="129">
        <f t="shared" si="24"/>
        <v>1</v>
      </c>
      <c r="BM15" s="126"/>
    </row>
    <row r="16" spans="1:73">
      <c r="P16" s="133" t="str">
        <f>"0x" &amp; DEC2HEX(Q16)</f>
        <v>0x2F</v>
      </c>
      <c r="Q16" s="134">
        <f>(Y15*1)+(X15*2)^1+(W15*2)^2+(V15*2)^3+(U15*2)^4+(T15*2)^5+(S15*2)^6+(R15*2)^7</f>
        <v>47</v>
      </c>
      <c r="BM16" s="126"/>
    </row>
    <row r="17" spans="17:65">
      <c r="Q17" s="126"/>
      <c r="BM17" s="126"/>
    </row>
    <row r="18" spans="17:65">
      <c r="Q18" s="126"/>
      <c r="BM18" s="126"/>
    </row>
    <row r="19" spans="17:65">
      <c r="Q19" s="126"/>
      <c r="BM19" s="126"/>
    </row>
    <row r="20" spans="17:65">
      <c r="Q20" s="126"/>
      <c r="BM20" s="126"/>
    </row>
    <row r="21" spans="17:65">
      <c r="Q21" s="126"/>
      <c r="BM21" s="126"/>
    </row>
    <row r="22" spans="17:65">
      <c r="Q22" s="126"/>
      <c r="BM22" s="126"/>
    </row>
    <row r="23" spans="17:65">
      <c r="Q23" s="126"/>
      <c r="BM23" s="126"/>
    </row>
    <row r="24" spans="17:65">
      <c r="BM24" s="126"/>
    </row>
    <row r="25" spans="17:65">
      <c r="BM25" s="126"/>
    </row>
    <row r="26" spans="17:65">
      <c r="BM26" s="126"/>
    </row>
    <row r="27" spans="17:65">
      <c r="BM27" s="126"/>
    </row>
    <row r="28" spans="17:65">
      <c r="BM28" s="126"/>
    </row>
    <row r="29" spans="17:65">
      <c r="BM29" s="126"/>
    </row>
    <row r="30" spans="17:65">
      <c r="BM30" s="126"/>
    </row>
    <row r="31" spans="17:65">
      <c r="BM31" s="126"/>
    </row>
    <row r="32" spans="17:65">
      <c r="BM32" s="126"/>
    </row>
    <row r="33" spans="65:65">
      <c r="BM33" s="126"/>
    </row>
    <row r="34" spans="65:65">
      <c r="BM34" s="126"/>
    </row>
    <row r="35" spans="65:65">
      <c r="BM35" s="126"/>
    </row>
    <row r="36" spans="65:65">
      <c r="BM36" s="126"/>
    </row>
    <row r="37" spans="65:65">
      <c r="BM37" s="126"/>
    </row>
    <row r="38" spans="65:65">
      <c r="BM38" s="126"/>
    </row>
    <row r="39" spans="65:65">
      <c r="BM39" s="126"/>
    </row>
    <row r="40" spans="65:65">
      <c r="BM40" s="126"/>
    </row>
    <row r="41" spans="65:65">
      <c r="BM41" s="126"/>
    </row>
    <row r="42" spans="65:65">
      <c r="BM42" s="126"/>
    </row>
    <row r="43" spans="65:65">
      <c r="BM43" s="126"/>
    </row>
    <row r="44" spans="65:65">
      <c r="BM44" s="126"/>
    </row>
    <row r="45" spans="65:65">
      <c r="BM45" s="126"/>
    </row>
    <row r="46" spans="65:65">
      <c r="BM46" s="126"/>
    </row>
    <row r="47" spans="65:65">
      <c r="BM47" s="126"/>
    </row>
    <row r="48" spans="65:65">
      <c r="BM48" s="126"/>
    </row>
    <row r="49" spans="65:65">
      <c r="BM49" s="126"/>
    </row>
    <row r="50" spans="65:65">
      <c r="BM50" s="126"/>
    </row>
    <row r="51" spans="65:65">
      <c r="BM51" s="126"/>
    </row>
    <row r="52" spans="65:65">
      <c r="BM52" s="126"/>
    </row>
    <row r="53" spans="65:65">
      <c r="BM53" s="126"/>
    </row>
    <row r="54" spans="65:65">
      <c r="BM54" s="126"/>
    </row>
    <row r="55" spans="65:65">
      <c r="BM55" s="126"/>
    </row>
    <row r="56" spans="65:65">
      <c r="BM56" s="126"/>
    </row>
    <row r="57" spans="65:65">
      <c r="BM57" s="126"/>
    </row>
    <row r="58" spans="65:65">
      <c r="BM58" s="126"/>
    </row>
    <row r="59" spans="65:65">
      <c r="BM59" s="126"/>
    </row>
    <row r="60" spans="65:65">
      <c r="BM60" s="126"/>
    </row>
    <row r="61" spans="65:65">
      <c r="BM61" s="126"/>
    </row>
    <row r="62" spans="65:65">
      <c r="BM62" s="126"/>
    </row>
    <row r="63" spans="65:65">
      <c r="BM63" s="126"/>
    </row>
    <row r="64" spans="65:65">
      <c r="BM64" s="126"/>
    </row>
    <row r="65" spans="65:65">
      <c r="BM65" s="126"/>
    </row>
    <row r="92" spans="1:65">
      <c r="A92" s="136">
        <v>1</v>
      </c>
      <c r="B92" s="136">
        <v>1</v>
      </c>
    </row>
    <row r="93" spans="1:65">
      <c r="B93" s="106">
        <v>1</v>
      </c>
      <c r="C93" s="136">
        <v>0</v>
      </c>
      <c r="D93" s="136">
        <v>1</v>
      </c>
      <c r="E93" s="136">
        <v>1</v>
      </c>
      <c r="F93" s="136">
        <v>1</v>
      </c>
      <c r="G93" s="136">
        <v>1</v>
      </c>
      <c r="H93" s="136">
        <v>1</v>
      </c>
      <c r="I93" s="136">
        <v>0</v>
      </c>
      <c r="J93" s="136">
        <v>1</v>
      </c>
      <c r="K93" s="136">
        <v>0</v>
      </c>
      <c r="L93" s="136">
        <v>0</v>
      </c>
      <c r="M93" s="136">
        <v>0</v>
      </c>
      <c r="N93" s="136">
        <v>0</v>
      </c>
      <c r="O93" s="136">
        <v>0</v>
      </c>
      <c r="P93" s="136">
        <v>0</v>
      </c>
      <c r="Q93" s="136">
        <v>0</v>
      </c>
      <c r="R93" s="136">
        <v>0</v>
      </c>
      <c r="S93" s="136">
        <v>0</v>
      </c>
      <c r="T93" s="136">
        <v>1</v>
      </c>
      <c r="U93" s="136">
        <v>0</v>
      </c>
      <c r="V93" s="136">
        <v>0</v>
      </c>
      <c r="W93" s="136">
        <v>1</v>
      </c>
      <c r="X93" s="136">
        <v>0</v>
      </c>
      <c r="Y93" s="136">
        <v>1</v>
      </c>
      <c r="Z93" s="136">
        <v>0</v>
      </c>
      <c r="AA93" s="136">
        <v>0</v>
      </c>
      <c r="AB93" s="136">
        <v>0</v>
      </c>
      <c r="AC93" s="136">
        <v>0</v>
      </c>
      <c r="AD93" s="136">
        <v>1</v>
      </c>
      <c r="AE93" s="136">
        <v>0</v>
      </c>
      <c r="AF93" s="136">
        <v>0</v>
      </c>
      <c r="AG93" s="136">
        <v>0</v>
      </c>
      <c r="AH93" s="136">
        <v>1</v>
      </c>
      <c r="AI93" s="136">
        <v>1</v>
      </c>
      <c r="AJ93" s="136">
        <v>1</v>
      </c>
      <c r="AK93" s="136">
        <v>1</v>
      </c>
      <c r="AL93" s="136">
        <v>1</v>
      </c>
      <c r="AM93" s="136">
        <v>1</v>
      </c>
      <c r="AN93" s="136">
        <v>1</v>
      </c>
      <c r="AO93" s="136">
        <v>1</v>
      </c>
      <c r="AP93" s="136">
        <v>1</v>
      </c>
      <c r="AQ93" s="136">
        <v>1</v>
      </c>
      <c r="AR93" s="136">
        <v>1</v>
      </c>
      <c r="AS93" s="136">
        <v>0</v>
      </c>
      <c r="AT93" s="136">
        <v>0</v>
      </c>
      <c r="AU93" s="136">
        <v>0</v>
      </c>
      <c r="AV93" s="136">
        <v>0</v>
      </c>
      <c r="AW93" s="136">
        <v>1</v>
      </c>
      <c r="AX93" s="136">
        <v>0</v>
      </c>
      <c r="AY93" s="136">
        <v>0</v>
      </c>
      <c r="AZ93" s="136">
        <v>0</v>
      </c>
      <c r="BA93" s="136">
        <v>0</v>
      </c>
      <c r="BB93" s="136">
        <v>0</v>
      </c>
      <c r="BC93" s="136">
        <v>0</v>
      </c>
      <c r="BD93" s="136">
        <v>1</v>
      </c>
      <c r="BE93" s="136">
        <v>0</v>
      </c>
      <c r="BF93" s="136">
        <v>0</v>
      </c>
      <c r="BG93" s="136">
        <v>0</v>
      </c>
      <c r="BH93" s="136">
        <v>0</v>
      </c>
      <c r="BI93" s="136">
        <v>0</v>
      </c>
      <c r="BJ93" s="136">
        <v>0</v>
      </c>
      <c r="BK93" s="136">
        <v>0</v>
      </c>
      <c r="BL93" s="136">
        <v>0</v>
      </c>
      <c r="BM93" s="136">
        <v>0</v>
      </c>
    </row>
    <row r="94" spans="1:65">
      <c r="A94" s="136">
        <v>0</v>
      </c>
      <c r="B94" s="136">
        <v>1</v>
      </c>
      <c r="C94" s="136">
        <v>1</v>
      </c>
      <c r="D94" s="136">
        <v>1</v>
      </c>
      <c r="E94" s="136">
        <v>1</v>
      </c>
    </row>
    <row r="95" spans="1:65">
      <c r="C95" s="106">
        <v>1</v>
      </c>
      <c r="F95" s="136">
        <v>1</v>
      </c>
      <c r="G95" s="136">
        <v>1</v>
      </c>
      <c r="H95" s="136">
        <v>1</v>
      </c>
      <c r="I95" s="136">
        <v>0</v>
      </c>
      <c r="J95" s="136">
        <v>1</v>
      </c>
      <c r="K95" s="136">
        <v>0</v>
      </c>
      <c r="L95" s="136">
        <v>0</v>
      </c>
      <c r="M95" s="136">
        <v>0</v>
      </c>
      <c r="N95" s="136">
        <v>0</v>
      </c>
      <c r="O95" s="136">
        <v>0</v>
      </c>
      <c r="P95" s="136">
        <v>0</v>
      </c>
      <c r="Q95" s="136">
        <v>0</v>
      </c>
      <c r="R95" s="136">
        <v>0</v>
      </c>
      <c r="S95" s="136">
        <v>0</v>
      </c>
      <c r="T95" s="136">
        <v>1</v>
      </c>
      <c r="U95" s="136">
        <v>0</v>
      </c>
      <c r="V95" s="136">
        <v>0</v>
      </c>
      <c r="W95" s="136">
        <v>1</v>
      </c>
      <c r="X95" s="136">
        <v>0</v>
      </c>
      <c r="Y95" s="136">
        <v>1</v>
      </c>
      <c r="Z95" s="136">
        <v>0</v>
      </c>
      <c r="AA95" s="136">
        <v>0</v>
      </c>
      <c r="AB95" s="136">
        <v>0</v>
      </c>
      <c r="AC95" s="136">
        <v>0</v>
      </c>
      <c r="AD95" s="136">
        <v>1</v>
      </c>
      <c r="AE95" s="136">
        <v>0</v>
      </c>
      <c r="AF95" s="136">
        <v>0</v>
      </c>
      <c r="AG95" s="136">
        <v>0</v>
      </c>
      <c r="AH95" s="136">
        <v>1</v>
      </c>
      <c r="AI95" s="136">
        <v>1</v>
      </c>
      <c r="AJ95" s="136">
        <v>1</v>
      </c>
      <c r="AK95" s="136">
        <v>1</v>
      </c>
      <c r="AL95" s="136">
        <v>1</v>
      </c>
      <c r="AM95" s="136">
        <v>1</v>
      </c>
      <c r="AN95" s="136">
        <v>1</v>
      </c>
      <c r="AO95" s="136">
        <v>1</v>
      </c>
      <c r="AP95" s="136">
        <v>1</v>
      </c>
      <c r="AQ95" s="136">
        <v>1</v>
      </c>
      <c r="AR95" s="136">
        <v>1</v>
      </c>
      <c r="AS95" s="136">
        <v>0</v>
      </c>
      <c r="AT95" s="136">
        <v>0</v>
      </c>
      <c r="AU95" s="136">
        <v>0</v>
      </c>
      <c r="AV95" s="136">
        <v>0</v>
      </c>
      <c r="AW95" s="136">
        <v>1</v>
      </c>
      <c r="AX95" s="136">
        <v>0</v>
      </c>
      <c r="AY95" s="136">
        <v>0</v>
      </c>
      <c r="AZ95" s="136">
        <v>0</v>
      </c>
      <c r="BA95" s="136">
        <v>0</v>
      </c>
      <c r="BB95" s="136">
        <v>0</v>
      </c>
      <c r="BC95" s="136">
        <v>0</v>
      </c>
      <c r="BD95" s="136">
        <v>1</v>
      </c>
      <c r="BE95" s="136">
        <v>0</v>
      </c>
      <c r="BF95" s="136">
        <v>0</v>
      </c>
      <c r="BG95" s="136">
        <v>0</v>
      </c>
      <c r="BH95" s="136">
        <v>0</v>
      </c>
      <c r="BI95" s="136">
        <v>0</v>
      </c>
      <c r="BJ95" s="136">
        <v>0</v>
      </c>
      <c r="BK95" s="136">
        <v>0</v>
      </c>
      <c r="BL95" s="136">
        <v>0</v>
      </c>
      <c r="BM95" s="136">
        <v>0</v>
      </c>
    </row>
    <row r="96" spans="1:65">
      <c r="C96" s="136">
        <v>1</v>
      </c>
      <c r="D96" s="136">
        <v>0</v>
      </c>
      <c r="E96" s="136">
        <v>0</v>
      </c>
      <c r="F96" s="136">
        <v>1</v>
      </c>
      <c r="G96" s="136">
        <v>0</v>
      </c>
      <c r="H96" s="136">
        <v>1</v>
      </c>
      <c r="I96" s="136">
        <v>1</v>
      </c>
      <c r="J96" s="136">
        <v>1</v>
      </c>
      <c r="K96" s="136">
        <v>1</v>
      </c>
    </row>
    <row r="97" spans="7:65">
      <c r="G97" s="106">
        <v>1</v>
      </c>
      <c r="I97" s="106">
        <v>1</v>
      </c>
      <c r="K97" s="106">
        <v>1</v>
      </c>
      <c r="L97" s="136">
        <v>0</v>
      </c>
      <c r="M97" s="136">
        <v>0</v>
      </c>
      <c r="N97" s="136">
        <v>0</v>
      </c>
      <c r="O97" s="136">
        <v>0</v>
      </c>
      <c r="P97" s="136">
        <v>0</v>
      </c>
      <c r="Q97" s="136">
        <v>0</v>
      </c>
      <c r="R97" s="136">
        <v>0</v>
      </c>
      <c r="S97" s="136">
        <v>0</v>
      </c>
      <c r="T97" s="136">
        <v>1</v>
      </c>
      <c r="U97" s="136">
        <v>0</v>
      </c>
      <c r="V97" s="136">
        <v>0</v>
      </c>
      <c r="W97" s="136">
        <v>1</v>
      </c>
      <c r="X97" s="136">
        <v>0</v>
      </c>
      <c r="Y97" s="136">
        <v>1</v>
      </c>
      <c r="Z97" s="136">
        <v>0</v>
      </c>
      <c r="AA97" s="136">
        <v>0</v>
      </c>
      <c r="AB97" s="136">
        <v>0</v>
      </c>
      <c r="AC97" s="136">
        <v>0</v>
      </c>
      <c r="AD97" s="136">
        <v>1</v>
      </c>
      <c r="AE97" s="136">
        <v>0</v>
      </c>
      <c r="AF97" s="136">
        <v>0</v>
      </c>
      <c r="AG97" s="136">
        <v>0</v>
      </c>
      <c r="AH97" s="136">
        <v>1</v>
      </c>
      <c r="AI97" s="136">
        <v>1</v>
      </c>
      <c r="AJ97" s="136">
        <v>1</v>
      </c>
      <c r="AK97" s="136">
        <v>1</v>
      </c>
      <c r="AL97" s="136">
        <v>1</v>
      </c>
      <c r="AM97" s="136">
        <v>1</v>
      </c>
      <c r="AN97" s="136">
        <v>1</v>
      </c>
      <c r="AO97" s="136">
        <v>1</v>
      </c>
      <c r="AP97" s="136">
        <v>1</v>
      </c>
      <c r="AQ97" s="136">
        <v>1</v>
      </c>
      <c r="AR97" s="136">
        <v>1</v>
      </c>
      <c r="AS97" s="136">
        <v>0</v>
      </c>
      <c r="AT97" s="136">
        <v>0</v>
      </c>
      <c r="AU97" s="136">
        <v>0</v>
      </c>
      <c r="AV97" s="136">
        <v>0</v>
      </c>
      <c r="AW97" s="136">
        <v>1</v>
      </c>
      <c r="AX97" s="136">
        <v>0</v>
      </c>
      <c r="AY97" s="136">
        <v>0</v>
      </c>
      <c r="AZ97" s="136">
        <v>0</v>
      </c>
      <c r="BA97" s="136">
        <v>0</v>
      </c>
      <c r="BB97" s="136">
        <v>0</v>
      </c>
      <c r="BC97" s="136">
        <v>0</v>
      </c>
      <c r="BD97" s="136">
        <v>1</v>
      </c>
      <c r="BE97" s="136">
        <v>0</v>
      </c>
      <c r="BF97" s="136">
        <v>0</v>
      </c>
      <c r="BG97" s="136">
        <v>0</v>
      </c>
      <c r="BH97" s="136">
        <v>0</v>
      </c>
      <c r="BI97" s="136">
        <v>0</v>
      </c>
      <c r="BJ97" s="136">
        <v>0</v>
      </c>
      <c r="BK97" s="136">
        <v>0</v>
      </c>
      <c r="BL97" s="136">
        <v>0</v>
      </c>
      <c r="BM97" s="136">
        <v>0</v>
      </c>
    </row>
    <row r="98" spans="7:65">
      <c r="G98" s="136">
        <v>1</v>
      </c>
      <c r="H98" s="136">
        <v>0</v>
      </c>
      <c r="I98" s="136">
        <v>0</v>
      </c>
      <c r="J98" s="136">
        <v>1</v>
      </c>
      <c r="K98" s="136">
        <v>0</v>
      </c>
      <c r="L98" s="136">
        <v>1</v>
      </c>
      <c r="M98" s="136">
        <v>1</v>
      </c>
      <c r="N98" s="136">
        <v>1</v>
      </c>
      <c r="O98" s="136">
        <v>1</v>
      </c>
    </row>
    <row r="99" spans="7:65">
      <c r="I99" s="106">
        <v>1</v>
      </c>
      <c r="J99" s="106">
        <v>1</v>
      </c>
      <c r="K99" s="106">
        <v>1</v>
      </c>
      <c r="L99" s="106">
        <v>1</v>
      </c>
      <c r="M99" s="106">
        <v>1</v>
      </c>
      <c r="N99" s="106">
        <v>1</v>
      </c>
      <c r="O99" s="106">
        <v>1</v>
      </c>
      <c r="P99" s="136">
        <v>0</v>
      </c>
      <c r="Q99" s="136">
        <v>0</v>
      </c>
      <c r="R99" s="136">
        <v>0</v>
      </c>
      <c r="S99" s="136">
        <v>0</v>
      </c>
      <c r="T99" s="136">
        <v>1</v>
      </c>
      <c r="U99" s="136">
        <v>0</v>
      </c>
      <c r="V99" s="136">
        <v>0</v>
      </c>
      <c r="W99" s="136">
        <v>1</v>
      </c>
      <c r="X99" s="136">
        <v>0</v>
      </c>
      <c r="Y99" s="136">
        <v>1</v>
      </c>
      <c r="Z99" s="136">
        <v>0</v>
      </c>
      <c r="AA99" s="136">
        <v>0</v>
      </c>
      <c r="AB99" s="136">
        <v>0</v>
      </c>
      <c r="AC99" s="136">
        <v>0</v>
      </c>
      <c r="AD99" s="136">
        <v>1</v>
      </c>
      <c r="AE99" s="136">
        <v>0</v>
      </c>
      <c r="AF99" s="136">
        <v>0</v>
      </c>
      <c r="AG99" s="136">
        <v>0</v>
      </c>
      <c r="AH99" s="136">
        <v>1</v>
      </c>
      <c r="AI99" s="136">
        <v>1</v>
      </c>
      <c r="AJ99" s="136">
        <v>1</v>
      </c>
      <c r="AK99" s="136">
        <v>1</v>
      </c>
      <c r="AL99" s="136">
        <v>1</v>
      </c>
      <c r="AM99" s="136">
        <v>1</v>
      </c>
      <c r="AN99" s="136">
        <v>1</v>
      </c>
      <c r="AO99" s="136">
        <v>1</v>
      </c>
      <c r="AP99" s="136">
        <v>1</v>
      </c>
      <c r="AQ99" s="136">
        <v>1</v>
      </c>
      <c r="AR99" s="136">
        <v>1</v>
      </c>
      <c r="AS99" s="136">
        <v>0</v>
      </c>
      <c r="AT99" s="136">
        <v>0</v>
      </c>
      <c r="AU99" s="136">
        <v>0</v>
      </c>
      <c r="AV99" s="136">
        <v>0</v>
      </c>
      <c r="AW99" s="136">
        <v>1</v>
      </c>
      <c r="AX99" s="136">
        <v>0</v>
      </c>
      <c r="AY99" s="136">
        <v>0</v>
      </c>
      <c r="AZ99" s="136">
        <v>0</v>
      </c>
      <c r="BA99" s="136">
        <v>0</v>
      </c>
      <c r="BB99" s="136">
        <v>0</v>
      </c>
      <c r="BC99" s="136">
        <v>0</v>
      </c>
      <c r="BD99" s="136">
        <v>1</v>
      </c>
      <c r="BE99" s="136">
        <v>0</v>
      </c>
      <c r="BF99" s="136">
        <v>0</v>
      </c>
      <c r="BG99" s="136">
        <v>0</v>
      </c>
      <c r="BH99" s="136">
        <v>0</v>
      </c>
      <c r="BI99" s="136">
        <v>0</v>
      </c>
      <c r="BJ99" s="136">
        <v>0</v>
      </c>
      <c r="BK99" s="136">
        <v>0</v>
      </c>
      <c r="BL99" s="136">
        <v>0</v>
      </c>
      <c r="BM99" s="136">
        <v>0</v>
      </c>
    </row>
    <row r="100" spans="7:65">
      <c r="I100" s="136">
        <v>1</v>
      </c>
      <c r="J100" s="136">
        <v>0</v>
      </c>
      <c r="K100" s="136">
        <v>0</v>
      </c>
      <c r="L100" s="136">
        <v>1</v>
      </c>
      <c r="M100" s="136">
        <v>0</v>
      </c>
      <c r="N100" s="136">
        <v>1</v>
      </c>
      <c r="O100" s="136">
        <v>1</v>
      </c>
      <c r="P100" s="136">
        <v>1</v>
      </c>
      <c r="Q100" s="136">
        <v>1</v>
      </c>
    </row>
    <row r="101" spans="7:65">
      <c r="J101" s="106">
        <v>1</v>
      </c>
      <c r="K101" s="106">
        <v>1</v>
      </c>
      <c r="M101" s="106">
        <v>1</v>
      </c>
      <c r="P101" s="106">
        <v>1</v>
      </c>
      <c r="Q101" s="106">
        <v>1</v>
      </c>
      <c r="R101" s="136">
        <v>0</v>
      </c>
      <c r="S101" s="136">
        <v>0</v>
      </c>
      <c r="T101" s="136">
        <v>1</v>
      </c>
      <c r="U101" s="136">
        <v>0</v>
      </c>
      <c r="V101" s="136">
        <v>0</v>
      </c>
      <c r="W101" s="136">
        <v>1</v>
      </c>
      <c r="X101" s="136">
        <v>0</v>
      </c>
      <c r="Y101" s="136">
        <v>1</v>
      </c>
      <c r="Z101" s="136">
        <v>0</v>
      </c>
      <c r="AA101" s="136">
        <v>0</v>
      </c>
      <c r="AB101" s="136">
        <v>0</v>
      </c>
      <c r="AC101" s="136">
        <v>0</v>
      </c>
      <c r="AD101" s="136">
        <v>1</v>
      </c>
      <c r="AE101" s="136">
        <v>0</v>
      </c>
      <c r="AF101" s="136">
        <v>0</v>
      </c>
      <c r="AG101" s="136">
        <v>0</v>
      </c>
      <c r="AH101" s="136">
        <v>1</v>
      </c>
      <c r="AI101" s="136">
        <v>1</v>
      </c>
      <c r="AJ101" s="136">
        <v>1</v>
      </c>
      <c r="AK101" s="136">
        <v>1</v>
      </c>
      <c r="AL101" s="136">
        <v>1</v>
      </c>
      <c r="AM101" s="136">
        <v>1</v>
      </c>
      <c r="AN101" s="136">
        <v>1</v>
      </c>
      <c r="AO101" s="136">
        <v>1</v>
      </c>
      <c r="AP101" s="136">
        <v>1</v>
      </c>
      <c r="AQ101" s="136">
        <v>1</v>
      </c>
      <c r="AR101" s="136">
        <v>1</v>
      </c>
      <c r="AS101" s="136">
        <v>0</v>
      </c>
      <c r="AT101" s="136">
        <v>0</v>
      </c>
      <c r="AU101" s="136">
        <v>0</v>
      </c>
      <c r="AV101" s="136">
        <v>0</v>
      </c>
      <c r="AW101" s="136">
        <v>1</v>
      </c>
      <c r="AX101" s="136">
        <v>0</v>
      </c>
      <c r="AY101" s="136">
        <v>0</v>
      </c>
      <c r="AZ101" s="136">
        <v>0</v>
      </c>
      <c r="BA101" s="136">
        <v>0</v>
      </c>
      <c r="BB101" s="136">
        <v>0</v>
      </c>
      <c r="BC101" s="136">
        <v>0</v>
      </c>
      <c r="BD101" s="136">
        <v>1</v>
      </c>
      <c r="BE101" s="136">
        <v>0</v>
      </c>
      <c r="BF101" s="136">
        <v>0</v>
      </c>
      <c r="BG101" s="136">
        <v>0</v>
      </c>
      <c r="BH101" s="136">
        <v>0</v>
      </c>
      <c r="BI101" s="136">
        <v>0</v>
      </c>
      <c r="BJ101" s="136">
        <v>0</v>
      </c>
      <c r="BK101" s="136">
        <v>0</v>
      </c>
      <c r="BL101" s="136">
        <v>0</v>
      </c>
      <c r="BM101" s="136">
        <v>0</v>
      </c>
    </row>
    <row r="102" spans="7:65">
      <c r="J102" s="136">
        <v>1</v>
      </c>
      <c r="K102" s="136">
        <v>0</v>
      </c>
      <c r="L102" s="136">
        <v>0</v>
      </c>
      <c r="M102" s="136">
        <v>1</v>
      </c>
      <c r="N102" s="136">
        <v>0</v>
      </c>
      <c r="O102" s="136">
        <v>1</v>
      </c>
      <c r="P102" s="136">
        <v>1</v>
      </c>
      <c r="Q102" s="136">
        <v>1</v>
      </c>
      <c r="R102" s="136">
        <v>1</v>
      </c>
    </row>
    <row r="103" spans="7:65">
      <c r="K103" s="106">
        <v>1</v>
      </c>
      <c r="O103" s="106">
        <v>1</v>
      </c>
      <c r="R103" s="106">
        <v>1</v>
      </c>
      <c r="S103" s="136">
        <v>0</v>
      </c>
      <c r="T103" s="136">
        <v>1</v>
      </c>
      <c r="U103" s="136">
        <v>0</v>
      </c>
      <c r="V103" s="136">
        <v>0</v>
      </c>
      <c r="W103" s="136">
        <v>1</v>
      </c>
      <c r="X103" s="136">
        <v>0</v>
      </c>
      <c r="Y103" s="136">
        <v>1</v>
      </c>
      <c r="Z103" s="136">
        <v>0</v>
      </c>
      <c r="AA103" s="136">
        <v>0</v>
      </c>
      <c r="AB103" s="136">
        <v>0</v>
      </c>
      <c r="AC103" s="136">
        <v>0</v>
      </c>
      <c r="AD103" s="136">
        <v>1</v>
      </c>
      <c r="AE103" s="136">
        <v>0</v>
      </c>
      <c r="AF103" s="136">
        <v>0</v>
      </c>
      <c r="AG103" s="136">
        <v>0</v>
      </c>
      <c r="AH103" s="136">
        <v>1</v>
      </c>
      <c r="AI103" s="136">
        <v>1</v>
      </c>
      <c r="AJ103" s="136">
        <v>1</v>
      </c>
      <c r="AK103" s="136">
        <v>1</v>
      </c>
      <c r="AL103" s="136">
        <v>1</v>
      </c>
      <c r="AM103" s="136">
        <v>1</v>
      </c>
      <c r="AN103" s="136">
        <v>1</v>
      </c>
      <c r="AO103" s="136">
        <v>1</v>
      </c>
      <c r="AP103" s="136">
        <v>1</v>
      </c>
      <c r="AQ103" s="136">
        <v>1</v>
      </c>
      <c r="AR103" s="136">
        <v>1</v>
      </c>
      <c r="AS103" s="136">
        <v>0</v>
      </c>
      <c r="AT103" s="136">
        <v>0</v>
      </c>
      <c r="AU103" s="136">
        <v>0</v>
      </c>
      <c r="AV103" s="136">
        <v>0</v>
      </c>
      <c r="AW103" s="136">
        <v>1</v>
      </c>
      <c r="AX103" s="136">
        <v>0</v>
      </c>
      <c r="AY103" s="136">
        <v>0</v>
      </c>
      <c r="AZ103" s="136">
        <v>0</v>
      </c>
      <c r="BA103" s="136">
        <v>0</v>
      </c>
      <c r="BB103" s="136">
        <v>0</v>
      </c>
      <c r="BC103" s="136">
        <v>0</v>
      </c>
      <c r="BD103" s="136">
        <v>1</v>
      </c>
      <c r="BE103" s="136">
        <v>0</v>
      </c>
      <c r="BF103" s="136">
        <v>0</v>
      </c>
      <c r="BG103" s="136">
        <v>0</v>
      </c>
      <c r="BH103" s="136">
        <v>0</v>
      </c>
      <c r="BI103" s="136">
        <v>0</v>
      </c>
      <c r="BJ103" s="136">
        <v>0</v>
      </c>
      <c r="BK103" s="136">
        <v>0</v>
      </c>
      <c r="BL103" s="136">
        <v>0</v>
      </c>
      <c r="BM103" s="136">
        <v>0</v>
      </c>
    </row>
    <row r="104" spans="7:65">
      <c r="K104" s="136">
        <v>1</v>
      </c>
      <c r="L104" s="136">
        <v>0</v>
      </c>
      <c r="M104" s="136">
        <v>0</v>
      </c>
      <c r="N104" s="136">
        <v>1</v>
      </c>
      <c r="O104" s="136">
        <v>0</v>
      </c>
      <c r="P104" s="136">
        <v>1</v>
      </c>
      <c r="Q104" s="136">
        <v>1</v>
      </c>
      <c r="R104" s="136">
        <v>1</v>
      </c>
      <c r="S104" s="136">
        <v>1</v>
      </c>
    </row>
    <row r="105" spans="7:65">
      <c r="N105" s="106">
        <v>1</v>
      </c>
      <c r="O105" s="106">
        <v>1</v>
      </c>
      <c r="P105" s="106">
        <v>1</v>
      </c>
      <c r="Q105" s="106">
        <v>1</v>
      </c>
      <c r="S105" s="106">
        <v>1</v>
      </c>
      <c r="T105" s="136">
        <v>1</v>
      </c>
      <c r="U105" s="136">
        <v>0</v>
      </c>
      <c r="V105" s="136">
        <v>0</v>
      </c>
      <c r="W105" s="136">
        <v>1</v>
      </c>
      <c r="X105" s="136">
        <v>0</v>
      </c>
      <c r="Y105" s="136">
        <v>1</v>
      </c>
      <c r="Z105" s="136">
        <v>0</v>
      </c>
      <c r="AA105" s="136">
        <v>0</v>
      </c>
      <c r="AB105" s="136">
        <v>0</v>
      </c>
      <c r="AC105" s="136">
        <v>0</v>
      </c>
      <c r="AD105" s="136">
        <v>1</v>
      </c>
      <c r="AE105" s="136">
        <v>0</v>
      </c>
      <c r="AF105" s="136">
        <v>0</v>
      </c>
      <c r="AG105" s="136">
        <v>0</v>
      </c>
      <c r="AH105" s="136">
        <v>1</v>
      </c>
      <c r="AI105" s="136">
        <v>1</v>
      </c>
      <c r="AJ105" s="136">
        <v>1</v>
      </c>
      <c r="AK105" s="136">
        <v>1</v>
      </c>
      <c r="AL105" s="136">
        <v>1</v>
      </c>
      <c r="AM105" s="136">
        <v>1</v>
      </c>
      <c r="AN105" s="136">
        <v>1</v>
      </c>
      <c r="AO105" s="136">
        <v>1</v>
      </c>
      <c r="AP105" s="136">
        <v>1</v>
      </c>
      <c r="AQ105" s="136">
        <v>1</v>
      </c>
      <c r="AR105" s="136">
        <v>1</v>
      </c>
      <c r="AS105" s="136">
        <v>0</v>
      </c>
      <c r="AT105" s="136">
        <v>0</v>
      </c>
      <c r="AU105" s="136">
        <v>0</v>
      </c>
      <c r="AV105" s="136">
        <v>0</v>
      </c>
      <c r="AW105" s="136">
        <v>1</v>
      </c>
      <c r="AX105" s="136">
        <v>0</v>
      </c>
      <c r="AY105" s="136">
        <v>0</v>
      </c>
      <c r="AZ105" s="136">
        <v>0</v>
      </c>
      <c r="BA105" s="136">
        <v>0</v>
      </c>
      <c r="BB105" s="136">
        <v>0</v>
      </c>
      <c r="BC105" s="136">
        <v>0</v>
      </c>
      <c r="BD105" s="136">
        <v>1</v>
      </c>
      <c r="BE105" s="136">
        <v>0</v>
      </c>
      <c r="BF105" s="136">
        <v>0</v>
      </c>
      <c r="BG105" s="136">
        <v>0</v>
      </c>
      <c r="BH105" s="136">
        <v>0</v>
      </c>
      <c r="BI105" s="136">
        <v>0</v>
      </c>
      <c r="BJ105" s="136">
        <v>0</v>
      </c>
      <c r="BK105" s="136">
        <v>0</v>
      </c>
      <c r="BL105" s="136">
        <v>0</v>
      </c>
      <c r="BM105" s="136">
        <v>0</v>
      </c>
    </row>
    <row r="106" spans="7:65">
      <c r="N106" s="136">
        <v>1</v>
      </c>
      <c r="O106" s="136">
        <v>0</v>
      </c>
      <c r="P106" s="136">
        <v>0</v>
      </c>
      <c r="Q106" s="136">
        <v>1</v>
      </c>
      <c r="R106" s="136">
        <v>0</v>
      </c>
      <c r="S106" s="136">
        <v>1</v>
      </c>
      <c r="T106" s="136">
        <v>1</v>
      </c>
      <c r="U106" s="136">
        <v>1</v>
      </c>
      <c r="V106" s="136">
        <v>1</v>
      </c>
    </row>
    <row r="107" spans="7:65">
      <c r="O107" s="106">
        <v>1</v>
      </c>
      <c r="P107" s="106">
        <v>1</v>
      </c>
      <c r="U107" s="106">
        <v>1</v>
      </c>
      <c r="V107" s="106">
        <v>1</v>
      </c>
      <c r="W107" s="136">
        <v>1</v>
      </c>
      <c r="X107" s="136">
        <v>0</v>
      </c>
      <c r="Y107" s="136">
        <v>1</v>
      </c>
      <c r="Z107" s="136">
        <v>0</v>
      </c>
      <c r="AA107" s="136">
        <v>0</v>
      </c>
      <c r="AB107" s="136">
        <v>0</v>
      </c>
      <c r="AC107" s="136">
        <v>0</v>
      </c>
      <c r="AD107" s="136">
        <v>1</v>
      </c>
      <c r="AE107" s="136">
        <v>0</v>
      </c>
      <c r="AF107" s="136">
        <v>0</v>
      </c>
      <c r="AG107" s="136">
        <v>0</v>
      </c>
      <c r="AH107" s="136">
        <v>1</v>
      </c>
      <c r="AI107" s="136">
        <v>1</v>
      </c>
      <c r="AJ107" s="136">
        <v>1</v>
      </c>
      <c r="AK107" s="136">
        <v>1</v>
      </c>
      <c r="AL107" s="136">
        <v>1</v>
      </c>
      <c r="AM107" s="136">
        <v>1</v>
      </c>
      <c r="AN107" s="136">
        <v>1</v>
      </c>
      <c r="AO107" s="136">
        <v>1</v>
      </c>
      <c r="AP107" s="136">
        <v>1</v>
      </c>
      <c r="AQ107" s="136">
        <v>1</v>
      </c>
      <c r="AR107" s="136">
        <v>1</v>
      </c>
      <c r="AS107" s="136">
        <v>0</v>
      </c>
      <c r="AT107" s="136">
        <v>0</v>
      </c>
      <c r="AU107" s="136">
        <v>0</v>
      </c>
      <c r="AV107" s="136">
        <v>0</v>
      </c>
      <c r="AW107" s="136">
        <v>1</v>
      </c>
      <c r="AX107" s="136">
        <v>0</v>
      </c>
      <c r="AY107" s="136">
        <v>0</v>
      </c>
      <c r="AZ107" s="136">
        <v>0</v>
      </c>
      <c r="BA107" s="136">
        <v>0</v>
      </c>
      <c r="BB107" s="136">
        <v>0</v>
      </c>
      <c r="BC107" s="136">
        <v>0</v>
      </c>
      <c r="BD107" s="136">
        <v>1</v>
      </c>
      <c r="BE107" s="136">
        <v>0</v>
      </c>
      <c r="BF107" s="136">
        <v>0</v>
      </c>
      <c r="BG107" s="136">
        <v>0</v>
      </c>
      <c r="BH107" s="136">
        <v>0</v>
      </c>
      <c r="BI107" s="136">
        <v>0</v>
      </c>
      <c r="BJ107" s="136">
        <v>0</v>
      </c>
      <c r="BK107" s="136">
        <v>0</v>
      </c>
      <c r="BL107" s="136">
        <v>0</v>
      </c>
      <c r="BM107" s="136">
        <v>0</v>
      </c>
    </row>
    <row r="108" spans="7:65">
      <c r="O108" s="136">
        <v>1</v>
      </c>
      <c r="P108" s="136">
        <v>0</v>
      </c>
      <c r="Q108" s="136">
        <v>0</v>
      </c>
      <c r="R108" s="136">
        <v>1</v>
      </c>
      <c r="S108" s="136">
        <v>0</v>
      </c>
      <c r="T108" s="136">
        <v>1</v>
      </c>
      <c r="U108" s="136">
        <v>1</v>
      </c>
      <c r="V108" s="136">
        <v>1</v>
      </c>
      <c r="W108" s="136">
        <v>1</v>
      </c>
    </row>
    <row r="109" spans="7:65">
      <c r="P109" s="106">
        <v>1</v>
      </c>
      <c r="R109" s="106">
        <v>1</v>
      </c>
      <c r="T109" s="106">
        <v>1</v>
      </c>
      <c r="X109" s="136">
        <v>0</v>
      </c>
      <c r="Y109" s="136">
        <v>1</v>
      </c>
      <c r="Z109" s="136">
        <v>0</v>
      </c>
      <c r="AA109" s="136">
        <v>0</v>
      </c>
      <c r="AB109" s="136">
        <v>0</v>
      </c>
      <c r="AC109" s="136">
        <v>0</v>
      </c>
      <c r="AD109" s="136">
        <v>1</v>
      </c>
      <c r="AE109" s="136">
        <v>0</v>
      </c>
      <c r="AF109" s="136">
        <v>0</v>
      </c>
      <c r="AG109" s="136">
        <v>0</v>
      </c>
      <c r="AH109" s="136">
        <v>1</v>
      </c>
      <c r="AI109" s="136">
        <v>1</v>
      </c>
      <c r="AJ109" s="136">
        <v>1</v>
      </c>
      <c r="AK109" s="136">
        <v>1</v>
      </c>
      <c r="AL109" s="136">
        <v>1</v>
      </c>
      <c r="AM109" s="136">
        <v>1</v>
      </c>
      <c r="AN109" s="136">
        <v>1</v>
      </c>
      <c r="AO109" s="136">
        <v>1</v>
      </c>
      <c r="AP109" s="136">
        <v>1</v>
      </c>
      <c r="AQ109" s="136">
        <v>1</v>
      </c>
      <c r="AR109" s="136">
        <v>1</v>
      </c>
      <c r="AS109" s="136">
        <v>0</v>
      </c>
      <c r="AT109" s="136">
        <v>0</v>
      </c>
      <c r="AU109" s="136">
        <v>0</v>
      </c>
      <c r="AV109" s="136">
        <v>0</v>
      </c>
      <c r="AW109" s="136">
        <v>1</v>
      </c>
      <c r="AX109" s="136">
        <v>0</v>
      </c>
      <c r="AY109" s="136">
        <v>0</v>
      </c>
      <c r="AZ109" s="136">
        <v>0</v>
      </c>
      <c r="BA109" s="136">
        <v>0</v>
      </c>
      <c r="BB109" s="136">
        <v>0</v>
      </c>
      <c r="BC109" s="136">
        <v>0</v>
      </c>
      <c r="BD109" s="136">
        <v>1</v>
      </c>
      <c r="BE109" s="136">
        <v>0</v>
      </c>
      <c r="BF109" s="136">
        <v>0</v>
      </c>
      <c r="BG109" s="136">
        <v>0</v>
      </c>
      <c r="BH109" s="136">
        <v>0</v>
      </c>
      <c r="BI109" s="136">
        <v>0</v>
      </c>
      <c r="BJ109" s="136">
        <v>0</v>
      </c>
      <c r="BK109" s="136">
        <v>0</v>
      </c>
      <c r="BL109" s="136">
        <v>0</v>
      </c>
      <c r="BM109" s="136">
        <v>0</v>
      </c>
    </row>
    <row r="110" spans="7:65">
      <c r="P110" s="136">
        <v>1</v>
      </c>
      <c r="Q110" s="136">
        <v>0</v>
      </c>
      <c r="R110" s="136">
        <v>0</v>
      </c>
      <c r="S110" s="136">
        <v>1</v>
      </c>
      <c r="T110" s="136">
        <v>0</v>
      </c>
      <c r="U110" s="136">
        <v>1</v>
      </c>
      <c r="V110" s="136">
        <v>1</v>
      </c>
      <c r="W110" s="136">
        <v>1</v>
      </c>
      <c r="X110" s="136">
        <v>1</v>
      </c>
    </row>
    <row r="111" spans="7:65">
      <c r="R111" s="106">
        <v>1</v>
      </c>
      <c r="S111" s="106">
        <v>1</v>
      </c>
      <c r="T111" s="106">
        <v>1</v>
      </c>
      <c r="U111" s="106">
        <v>1</v>
      </c>
      <c r="V111" s="106">
        <v>1</v>
      </c>
      <c r="W111" s="106">
        <v>1</v>
      </c>
      <c r="X111" s="106">
        <v>1</v>
      </c>
      <c r="Y111" s="136">
        <v>1</v>
      </c>
      <c r="Z111" s="136">
        <v>0</v>
      </c>
      <c r="AA111" s="136">
        <v>0</v>
      </c>
      <c r="AB111" s="136">
        <v>0</v>
      </c>
      <c r="AC111" s="136">
        <v>0</v>
      </c>
      <c r="AD111" s="136">
        <v>1</v>
      </c>
      <c r="AE111" s="136">
        <v>0</v>
      </c>
      <c r="AF111" s="136">
        <v>0</v>
      </c>
      <c r="AG111" s="136">
        <v>0</v>
      </c>
      <c r="AH111" s="136">
        <v>1</v>
      </c>
      <c r="AI111" s="136">
        <v>1</v>
      </c>
      <c r="AJ111" s="136">
        <v>1</v>
      </c>
      <c r="AK111" s="136">
        <v>1</v>
      </c>
      <c r="AL111" s="136">
        <v>1</v>
      </c>
      <c r="AM111" s="136">
        <v>1</v>
      </c>
      <c r="AN111" s="136">
        <v>1</v>
      </c>
      <c r="AO111" s="136">
        <v>1</v>
      </c>
      <c r="AP111" s="136">
        <v>1</v>
      </c>
      <c r="AQ111" s="136">
        <v>1</v>
      </c>
      <c r="AR111" s="136">
        <v>1</v>
      </c>
      <c r="AS111" s="136">
        <v>0</v>
      </c>
      <c r="AT111" s="136">
        <v>0</v>
      </c>
      <c r="AU111" s="136">
        <v>0</v>
      </c>
      <c r="AV111" s="136">
        <v>0</v>
      </c>
      <c r="AW111" s="136">
        <v>1</v>
      </c>
      <c r="AX111" s="136">
        <v>0</v>
      </c>
      <c r="AY111" s="136">
        <v>0</v>
      </c>
      <c r="AZ111" s="136">
        <v>0</v>
      </c>
      <c r="BA111" s="136">
        <v>0</v>
      </c>
      <c r="BB111" s="136">
        <v>0</v>
      </c>
      <c r="BC111" s="136">
        <v>0</v>
      </c>
      <c r="BD111" s="136">
        <v>1</v>
      </c>
      <c r="BE111" s="136">
        <v>0</v>
      </c>
      <c r="BF111" s="136">
        <v>0</v>
      </c>
      <c r="BG111" s="136">
        <v>0</v>
      </c>
      <c r="BH111" s="136">
        <v>0</v>
      </c>
      <c r="BI111" s="136">
        <v>0</v>
      </c>
      <c r="BJ111" s="136">
        <v>0</v>
      </c>
      <c r="BK111" s="136">
        <v>0</v>
      </c>
      <c r="BL111" s="136">
        <v>0</v>
      </c>
      <c r="BM111" s="136">
        <v>0</v>
      </c>
    </row>
    <row r="112" spans="7:65">
      <c r="R112" s="136">
        <v>1</v>
      </c>
      <c r="S112" s="136">
        <v>0</v>
      </c>
      <c r="T112" s="136">
        <v>0</v>
      </c>
      <c r="U112" s="136">
        <v>1</v>
      </c>
      <c r="V112" s="136">
        <v>0</v>
      </c>
      <c r="W112" s="136">
        <v>1</v>
      </c>
      <c r="X112" s="136">
        <v>1</v>
      </c>
      <c r="Y112" s="136">
        <v>1</v>
      </c>
      <c r="Z112" s="136">
        <v>1</v>
      </c>
    </row>
    <row r="113" spans="19:65">
      <c r="S113" s="106">
        <v>1</v>
      </c>
      <c r="T113" s="106">
        <v>1</v>
      </c>
      <c r="V113" s="106">
        <v>1</v>
      </c>
      <c r="Z113" s="106">
        <v>1</v>
      </c>
      <c r="AA113" s="136">
        <v>0</v>
      </c>
      <c r="AB113" s="136">
        <v>0</v>
      </c>
      <c r="AC113" s="136">
        <v>0</v>
      </c>
      <c r="AD113" s="136">
        <v>1</v>
      </c>
      <c r="AE113" s="136">
        <v>0</v>
      </c>
      <c r="AF113" s="136">
        <v>0</v>
      </c>
      <c r="AG113" s="136">
        <v>0</v>
      </c>
      <c r="AH113" s="136">
        <v>1</v>
      </c>
      <c r="AI113" s="136">
        <v>1</v>
      </c>
      <c r="AJ113" s="136">
        <v>1</v>
      </c>
      <c r="AK113" s="136">
        <v>1</v>
      </c>
      <c r="AL113" s="136">
        <v>1</v>
      </c>
      <c r="AM113" s="136">
        <v>1</v>
      </c>
      <c r="AN113" s="136">
        <v>1</v>
      </c>
      <c r="AO113" s="136">
        <v>1</v>
      </c>
      <c r="AP113" s="136">
        <v>1</v>
      </c>
      <c r="AQ113" s="136">
        <v>1</v>
      </c>
      <c r="AR113" s="136">
        <v>1</v>
      </c>
      <c r="AS113" s="136">
        <v>0</v>
      </c>
      <c r="AT113" s="136">
        <v>0</v>
      </c>
      <c r="AU113" s="136">
        <v>0</v>
      </c>
      <c r="AV113" s="136">
        <v>0</v>
      </c>
      <c r="AW113" s="136">
        <v>1</v>
      </c>
      <c r="AX113" s="136">
        <v>0</v>
      </c>
      <c r="AY113" s="136">
        <v>0</v>
      </c>
      <c r="AZ113" s="136">
        <v>0</v>
      </c>
      <c r="BA113" s="136">
        <v>0</v>
      </c>
      <c r="BB113" s="136">
        <v>0</v>
      </c>
      <c r="BC113" s="136">
        <v>0</v>
      </c>
      <c r="BD113" s="136">
        <v>1</v>
      </c>
      <c r="BE113" s="136">
        <v>0</v>
      </c>
      <c r="BF113" s="136">
        <v>0</v>
      </c>
      <c r="BG113" s="136">
        <v>0</v>
      </c>
      <c r="BH113" s="136">
        <v>0</v>
      </c>
      <c r="BI113" s="136">
        <v>0</v>
      </c>
      <c r="BJ113" s="136">
        <v>0</v>
      </c>
      <c r="BK113" s="136">
        <v>0</v>
      </c>
      <c r="BL113" s="136">
        <v>0</v>
      </c>
      <c r="BM113" s="136">
        <v>0</v>
      </c>
    </row>
    <row r="114" spans="19:65">
      <c r="S114" s="136">
        <v>1</v>
      </c>
      <c r="T114" s="136">
        <v>0</v>
      </c>
      <c r="U114" s="136">
        <v>0</v>
      </c>
      <c r="V114" s="136">
        <v>1</v>
      </c>
      <c r="W114" s="136">
        <v>0</v>
      </c>
      <c r="X114" s="136">
        <v>1</v>
      </c>
      <c r="Y114" s="136">
        <v>1</v>
      </c>
      <c r="Z114" s="136">
        <v>1</v>
      </c>
      <c r="AA114" s="136">
        <v>1</v>
      </c>
    </row>
    <row r="115" spans="19:65">
      <c r="T115" s="106">
        <v>1</v>
      </c>
      <c r="X115" s="106">
        <v>1</v>
      </c>
      <c r="Y115" s="106">
        <v>1</v>
      </c>
      <c r="AA115" s="106">
        <v>1</v>
      </c>
      <c r="AB115" s="136">
        <v>0</v>
      </c>
      <c r="AC115" s="136">
        <v>0</v>
      </c>
      <c r="AD115" s="136">
        <v>1</v>
      </c>
      <c r="AE115" s="136">
        <v>0</v>
      </c>
      <c r="AF115" s="136">
        <v>0</v>
      </c>
      <c r="AG115" s="136">
        <v>0</v>
      </c>
      <c r="AH115" s="136">
        <v>1</v>
      </c>
      <c r="AI115" s="136">
        <v>1</v>
      </c>
      <c r="AJ115" s="136">
        <v>1</v>
      </c>
      <c r="AK115" s="136">
        <v>1</v>
      </c>
      <c r="AL115" s="136">
        <v>1</v>
      </c>
      <c r="AM115" s="136">
        <v>1</v>
      </c>
      <c r="AN115" s="136">
        <v>1</v>
      </c>
      <c r="AO115" s="136">
        <v>1</v>
      </c>
      <c r="AP115" s="136">
        <v>1</v>
      </c>
      <c r="AQ115" s="136">
        <v>1</v>
      </c>
      <c r="AR115" s="136">
        <v>1</v>
      </c>
      <c r="AS115" s="136">
        <v>0</v>
      </c>
      <c r="AT115" s="136">
        <v>0</v>
      </c>
      <c r="AU115" s="136">
        <v>0</v>
      </c>
      <c r="AV115" s="136">
        <v>0</v>
      </c>
      <c r="AW115" s="136">
        <v>1</v>
      </c>
      <c r="AX115" s="136">
        <v>0</v>
      </c>
      <c r="AY115" s="136">
        <v>0</v>
      </c>
      <c r="AZ115" s="136">
        <v>0</v>
      </c>
      <c r="BA115" s="136">
        <v>0</v>
      </c>
      <c r="BB115" s="136">
        <v>0</v>
      </c>
      <c r="BC115" s="136">
        <v>0</v>
      </c>
      <c r="BD115" s="136">
        <v>1</v>
      </c>
      <c r="BE115" s="136">
        <v>0</v>
      </c>
      <c r="BF115" s="136">
        <v>0</v>
      </c>
      <c r="BG115" s="136">
        <v>0</v>
      </c>
      <c r="BH115" s="136">
        <v>0</v>
      </c>
      <c r="BI115" s="136">
        <v>0</v>
      </c>
      <c r="BJ115" s="136">
        <v>0</v>
      </c>
      <c r="BK115" s="136">
        <v>0</v>
      </c>
      <c r="BL115" s="136">
        <v>0</v>
      </c>
      <c r="BM115" s="136">
        <v>0</v>
      </c>
    </row>
    <row r="116" spans="19:65">
      <c r="T116" s="136">
        <v>1</v>
      </c>
      <c r="U116" s="136">
        <v>0</v>
      </c>
      <c r="V116" s="136">
        <v>0</v>
      </c>
      <c r="W116" s="136">
        <v>1</v>
      </c>
      <c r="X116" s="136">
        <v>0</v>
      </c>
      <c r="Y116" s="136">
        <v>1</v>
      </c>
      <c r="Z116" s="136">
        <v>1</v>
      </c>
      <c r="AA116" s="136">
        <v>1</v>
      </c>
      <c r="AB116" s="136">
        <v>1</v>
      </c>
    </row>
    <row r="117" spans="19:65">
      <c r="W117" s="106">
        <v>1</v>
      </c>
      <c r="X117" s="106">
        <v>1</v>
      </c>
      <c r="Z117" s="106">
        <v>1</v>
      </c>
      <c r="AB117" s="106">
        <v>1</v>
      </c>
      <c r="AC117" s="136">
        <v>0</v>
      </c>
      <c r="AD117" s="136">
        <v>1</v>
      </c>
      <c r="AE117" s="136">
        <v>0</v>
      </c>
      <c r="AF117" s="136">
        <v>0</v>
      </c>
      <c r="AG117" s="136">
        <v>0</v>
      </c>
      <c r="AH117" s="136">
        <v>1</v>
      </c>
      <c r="AI117" s="136">
        <v>1</v>
      </c>
      <c r="AJ117" s="136">
        <v>1</v>
      </c>
      <c r="AK117" s="136">
        <v>1</v>
      </c>
      <c r="AL117" s="136">
        <v>1</v>
      </c>
      <c r="AM117" s="136">
        <v>1</v>
      </c>
      <c r="AN117" s="136">
        <v>1</v>
      </c>
      <c r="AO117" s="136">
        <v>1</v>
      </c>
      <c r="AP117" s="136">
        <v>1</v>
      </c>
      <c r="AQ117" s="136">
        <v>1</v>
      </c>
      <c r="AR117" s="136">
        <v>1</v>
      </c>
      <c r="AS117" s="136">
        <v>0</v>
      </c>
      <c r="AT117" s="136">
        <v>0</v>
      </c>
      <c r="AU117" s="136">
        <v>0</v>
      </c>
      <c r="AV117" s="136">
        <v>0</v>
      </c>
      <c r="AW117" s="136">
        <v>1</v>
      </c>
      <c r="AX117" s="136">
        <v>0</v>
      </c>
      <c r="AY117" s="136">
        <v>0</v>
      </c>
      <c r="AZ117" s="136">
        <v>0</v>
      </c>
      <c r="BA117" s="136">
        <v>0</v>
      </c>
      <c r="BB117" s="136">
        <v>0</v>
      </c>
      <c r="BC117" s="136">
        <v>0</v>
      </c>
      <c r="BD117" s="136">
        <v>1</v>
      </c>
      <c r="BE117" s="136">
        <v>0</v>
      </c>
      <c r="BF117" s="136">
        <v>0</v>
      </c>
      <c r="BG117" s="136">
        <v>0</v>
      </c>
      <c r="BH117" s="136">
        <v>0</v>
      </c>
      <c r="BI117" s="136">
        <v>0</v>
      </c>
      <c r="BJ117" s="136">
        <v>0</v>
      </c>
      <c r="BK117" s="136">
        <v>0</v>
      </c>
      <c r="BL117" s="136">
        <v>0</v>
      </c>
      <c r="BM117" s="136">
        <v>0</v>
      </c>
    </row>
    <row r="118" spans="19:65">
      <c r="W118" s="136">
        <v>1</v>
      </c>
      <c r="X118" s="136">
        <v>0</v>
      </c>
      <c r="Y118" s="136">
        <v>0</v>
      </c>
      <c r="Z118" s="136">
        <v>1</v>
      </c>
      <c r="AA118" s="136">
        <v>0</v>
      </c>
      <c r="AB118" s="136">
        <v>1</v>
      </c>
      <c r="AC118" s="136">
        <v>1</v>
      </c>
      <c r="AD118" s="136">
        <v>1</v>
      </c>
      <c r="AE118" s="136">
        <v>1</v>
      </c>
    </row>
    <row r="119" spans="19:65">
      <c r="X119" s="106">
        <v>1</v>
      </c>
      <c r="AC119" s="106">
        <v>1</v>
      </c>
      <c r="AE119" s="106">
        <v>1</v>
      </c>
      <c r="AF119" s="136">
        <v>0</v>
      </c>
      <c r="AG119" s="136">
        <v>0</v>
      </c>
      <c r="AH119" s="136">
        <v>1</v>
      </c>
      <c r="AI119" s="136">
        <v>1</v>
      </c>
      <c r="AJ119" s="136">
        <v>1</v>
      </c>
      <c r="AK119" s="136">
        <v>1</v>
      </c>
      <c r="AL119" s="136">
        <v>1</v>
      </c>
      <c r="AM119" s="136">
        <v>1</v>
      </c>
      <c r="AN119" s="136">
        <v>1</v>
      </c>
      <c r="AO119" s="136">
        <v>1</v>
      </c>
      <c r="AP119" s="136">
        <v>1</v>
      </c>
      <c r="AQ119" s="136">
        <v>1</v>
      </c>
      <c r="AR119" s="136">
        <v>1</v>
      </c>
      <c r="AS119" s="136">
        <v>0</v>
      </c>
      <c r="AT119" s="136">
        <v>0</v>
      </c>
      <c r="AU119" s="136">
        <v>0</v>
      </c>
      <c r="AV119" s="136">
        <v>0</v>
      </c>
      <c r="AW119" s="136">
        <v>1</v>
      </c>
      <c r="AX119" s="136">
        <v>0</v>
      </c>
      <c r="AY119" s="136">
        <v>0</v>
      </c>
      <c r="AZ119" s="136">
        <v>0</v>
      </c>
      <c r="BA119" s="136">
        <v>0</v>
      </c>
      <c r="BB119" s="136">
        <v>0</v>
      </c>
      <c r="BC119" s="136">
        <v>0</v>
      </c>
      <c r="BD119" s="136">
        <v>1</v>
      </c>
      <c r="BE119" s="136">
        <v>0</v>
      </c>
      <c r="BF119" s="136">
        <v>0</v>
      </c>
      <c r="BG119" s="136">
        <v>0</v>
      </c>
      <c r="BH119" s="136">
        <v>0</v>
      </c>
      <c r="BI119" s="136">
        <v>0</v>
      </c>
      <c r="BJ119" s="136">
        <v>0</v>
      </c>
      <c r="BK119" s="136">
        <v>0</v>
      </c>
      <c r="BL119" s="136">
        <v>0</v>
      </c>
      <c r="BM119" s="136">
        <v>0</v>
      </c>
    </row>
    <row r="120" spans="19:65">
      <c r="X120" s="136">
        <v>1</v>
      </c>
      <c r="Y120" s="136">
        <v>0</v>
      </c>
      <c r="Z120" s="136">
        <v>0</v>
      </c>
      <c r="AA120" s="136">
        <v>1</v>
      </c>
      <c r="AB120" s="136">
        <v>0</v>
      </c>
      <c r="AC120" s="136">
        <v>1</v>
      </c>
      <c r="AD120" s="136">
        <v>1</v>
      </c>
      <c r="AE120" s="136">
        <v>1</v>
      </c>
      <c r="AF120" s="136">
        <v>1</v>
      </c>
    </row>
    <row r="121" spans="19:65">
      <c r="AA121" s="106">
        <v>1</v>
      </c>
      <c r="AD121" s="106">
        <v>1</v>
      </c>
      <c r="AF121" s="106">
        <v>1</v>
      </c>
      <c r="AG121" s="136">
        <v>0</v>
      </c>
      <c r="AH121" s="136">
        <v>1</v>
      </c>
      <c r="AI121" s="136">
        <v>1</v>
      </c>
      <c r="AJ121" s="136">
        <v>1</v>
      </c>
      <c r="AK121" s="136">
        <v>1</v>
      </c>
      <c r="AL121" s="136">
        <v>1</v>
      </c>
      <c r="AM121" s="136">
        <v>1</v>
      </c>
      <c r="AN121" s="136">
        <v>1</v>
      </c>
      <c r="AO121" s="136">
        <v>1</v>
      </c>
      <c r="AP121" s="136">
        <v>1</v>
      </c>
      <c r="AQ121" s="136">
        <v>1</v>
      </c>
      <c r="AR121" s="136">
        <v>1</v>
      </c>
      <c r="AS121" s="136">
        <v>0</v>
      </c>
      <c r="AT121" s="136">
        <v>0</v>
      </c>
      <c r="AU121" s="136">
        <v>0</v>
      </c>
      <c r="AV121" s="136">
        <v>0</v>
      </c>
      <c r="AW121" s="136">
        <v>1</v>
      </c>
      <c r="AX121" s="136">
        <v>0</v>
      </c>
      <c r="AY121" s="136">
        <v>0</v>
      </c>
      <c r="AZ121" s="136">
        <v>0</v>
      </c>
      <c r="BA121" s="136">
        <v>0</v>
      </c>
      <c r="BB121" s="136">
        <v>0</v>
      </c>
      <c r="BC121" s="136">
        <v>0</v>
      </c>
      <c r="BD121" s="136">
        <v>1</v>
      </c>
      <c r="BE121" s="136">
        <v>0</v>
      </c>
      <c r="BF121" s="136">
        <v>0</v>
      </c>
      <c r="BG121" s="136">
        <v>0</v>
      </c>
      <c r="BH121" s="136">
        <v>0</v>
      </c>
      <c r="BI121" s="136">
        <v>0</v>
      </c>
      <c r="BJ121" s="136">
        <v>0</v>
      </c>
      <c r="BK121" s="136">
        <v>0</v>
      </c>
      <c r="BL121" s="136">
        <v>0</v>
      </c>
      <c r="BM121" s="136">
        <v>0</v>
      </c>
    </row>
    <row r="122" spans="19:65">
      <c r="AA122" s="136">
        <v>1</v>
      </c>
      <c r="AB122" s="136">
        <v>0</v>
      </c>
      <c r="AC122" s="136">
        <v>0</v>
      </c>
      <c r="AD122" s="136">
        <v>1</v>
      </c>
      <c r="AE122" s="136">
        <v>0</v>
      </c>
      <c r="AF122" s="136">
        <v>1</v>
      </c>
      <c r="AG122" s="136">
        <v>1</v>
      </c>
      <c r="AH122" s="136">
        <v>1</v>
      </c>
      <c r="AI122" s="136">
        <v>1</v>
      </c>
    </row>
    <row r="123" spans="19:65">
      <c r="AG123" s="106">
        <v>1</v>
      </c>
      <c r="AJ123" s="136">
        <v>1</v>
      </c>
      <c r="AK123" s="136">
        <v>1</v>
      </c>
      <c r="AL123" s="136">
        <v>1</v>
      </c>
      <c r="AM123" s="136">
        <v>1</v>
      </c>
      <c r="AN123" s="136">
        <v>1</v>
      </c>
      <c r="AO123" s="136">
        <v>1</v>
      </c>
      <c r="AP123" s="136">
        <v>1</v>
      </c>
      <c r="AQ123" s="136">
        <v>1</v>
      </c>
      <c r="AR123" s="136">
        <v>1</v>
      </c>
      <c r="AS123" s="136">
        <v>0</v>
      </c>
      <c r="AT123" s="136">
        <v>0</v>
      </c>
      <c r="AU123" s="136">
        <v>0</v>
      </c>
      <c r="AV123" s="136">
        <v>0</v>
      </c>
      <c r="AW123" s="136">
        <v>1</v>
      </c>
      <c r="AX123" s="136">
        <v>0</v>
      </c>
      <c r="AY123" s="136">
        <v>0</v>
      </c>
      <c r="AZ123" s="136">
        <v>0</v>
      </c>
      <c r="BA123" s="136">
        <v>0</v>
      </c>
      <c r="BB123" s="136">
        <v>0</v>
      </c>
      <c r="BC123" s="136">
        <v>0</v>
      </c>
      <c r="BD123" s="136">
        <v>1</v>
      </c>
      <c r="BE123" s="136">
        <v>0</v>
      </c>
      <c r="BF123" s="136">
        <v>0</v>
      </c>
      <c r="BG123" s="136">
        <v>0</v>
      </c>
      <c r="BH123" s="136">
        <v>0</v>
      </c>
      <c r="BI123" s="136">
        <v>0</v>
      </c>
      <c r="BJ123" s="136">
        <v>0</v>
      </c>
      <c r="BK123" s="136">
        <v>0</v>
      </c>
      <c r="BL123" s="136">
        <v>0</v>
      </c>
      <c r="BM123" s="136">
        <v>0</v>
      </c>
    </row>
    <row r="124" spans="19:65">
      <c r="AG124" s="136">
        <v>1</v>
      </c>
      <c r="AH124" s="136">
        <v>0</v>
      </c>
      <c r="AI124" s="136">
        <v>0</v>
      </c>
      <c r="AJ124" s="136">
        <v>1</v>
      </c>
      <c r="AK124" s="136">
        <v>0</v>
      </c>
      <c r="AL124" s="136">
        <v>1</v>
      </c>
      <c r="AM124" s="136">
        <v>1</v>
      </c>
      <c r="AN124" s="136">
        <v>1</v>
      </c>
      <c r="AO124" s="136">
        <v>1</v>
      </c>
    </row>
    <row r="125" spans="19:65">
      <c r="AK125" s="106">
        <v>1</v>
      </c>
      <c r="AP125" s="136">
        <v>1</v>
      </c>
      <c r="AQ125" s="136">
        <v>1</v>
      </c>
      <c r="AR125" s="136">
        <v>1</v>
      </c>
      <c r="AS125" s="136">
        <v>0</v>
      </c>
      <c r="AT125" s="136">
        <v>0</v>
      </c>
      <c r="AU125" s="136">
        <v>0</v>
      </c>
      <c r="AV125" s="136">
        <v>0</v>
      </c>
      <c r="AW125" s="136">
        <v>1</v>
      </c>
      <c r="AX125" s="136">
        <v>0</v>
      </c>
      <c r="AY125" s="136">
        <v>0</v>
      </c>
      <c r="AZ125" s="136">
        <v>0</v>
      </c>
      <c r="BA125" s="136">
        <v>0</v>
      </c>
      <c r="BB125" s="136">
        <v>0</v>
      </c>
      <c r="BC125" s="136">
        <v>0</v>
      </c>
      <c r="BD125" s="136">
        <v>1</v>
      </c>
      <c r="BE125" s="136">
        <v>0</v>
      </c>
      <c r="BF125" s="136">
        <v>0</v>
      </c>
      <c r="BG125" s="136">
        <v>0</v>
      </c>
      <c r="BH125" s="136">
        <v>0</v>
      </c>
      <c r="BI125" s="136">
        <v>0</v>
      </c>
      <c r="BJ125" s="136">
        <v>0</v>
      </c>
      <c r="BK125" s="136">
        <v>0</v>
      </c>
      <c r="BL125" s="136">
        <v>0</v>
      </c>
      <c r="BM125" s="136">
        <v>0</v>
      </c>
    </row>
    <row r="126" spans="19:65">
      <c r="AK126" s="136">
        <v>1</v>
      </c>
      <c r="AL126" s="136">
        <v>0</v>
      </c>
      <c r="AM126" s="136">
        <v>0</v>
      </c>
      <c r="AN126" s="136">
        <v>1</v>
      </c>
      <c r="AO126" s="136">
        <v>0</v>
      </c>
      <c r="AP126" s="136">
        <v>1</v>
      </c>
      <c r="AQ126" s="136">
        <v>1</v>
      </c>
      <c r="AR126" s="136">
        <v>1</v>
      </c>
      <c r="AS126" s="136">
        <v>1</v>
      </c>
    </row>
    <row r="127" spans="19:65">
      <c r="AN127" s="106">
        <v>1</v>
      </c>
      <c r="AS127" s="106">
        <v>1</v>
      </c>
      <c r="AT127" s="136">
        <v>0</v>
      </c>
      <c r="AU127" s="136">
        <v>0</v>
      </c>
      <c r="AV127" s="136">
        <v>0</v>
      </c>
      <c r="AW127" s="136">
        <v>1</v>
      </c>
      <c r="AX127" s="136">
        <v>0</v>
      </c>
      <c r="AY127" s="136">
        <v>0</v>
      </c>
      <c r="AZ127" s="136">
        <v>0</v>
      </c>
      <c r="BA127" s="136">
        <v>0</v>
      </c>
      <c r="BB127" s="136">
        <v>0</v>
      </c>
      <c r="BC127" s="136">
        <v>0</v>
      </c>
      <c r="BD127" s="136">
        <v>1</v>
      </c>
      <c r="BE127" s="136">
        <v>0</v>
      </c>
      <c r="BF127" s="136">
        <v>0</v>
      </c>
      <c r="BG127" s="136">
        <v>0</v>
      </c>
      <c r="BH127" s="136">
        <v>0</v>
      </c>
      <c r="BI127" s="136">
        <v>0</v>
      </c>
      <c r="BJ127" s="136">
        <v>0</v>
      </c>
      <c r="BK127" s="136">
        <v>0</v>
      </c>
      <c r="BL127" s="136">
        <v>0</v>
      </c>
      <c r="BM127" s="136">
        <v>0</v>
      </c>
    </row>
    <row r="128" spans="19:65">
      <c r="AN128" s="136">
        <v>1</v>
      </c>
      <c r="AO128" s="136">
        <v>0</v>
      </c>
      <c r="AP128" s="136">
        <v>0</v>
      </c>
      <c r="AQ128" s="136">
        <v>1</v>
      </c>
      <c r="AR128" s="136">
        <v>0</v>
      </c>
      <c r="AS128" s="136">
        <v>1</v>
      </c>
      <c r="AT128" s="136">
        <v>1</v>
      </c>
      <c r="AU128" s="136">
        <v>1</v>
      </c>
      <c r="AV128" s="136">
        <v>1</v>
      </c>
    </row>
    <row r="129" spans="43:65">
      <c r="AQ129" s="106">
        <v>1</v>
      </c>
      <c r="AT129" s="106">
        <v>1</v>
      </c>
      <c r="AU129" s="106">
        <v>1</v>
      </c>
      <c r="AV129" s="106">
        <v>1</v>
      </c>
      <c r="AW129" s="136">
        <v>1</v>
      </c>
      <c r="AX129" s="136">
        <v>0</v>
      </c>
      <c r="AY129" s="136">
        <v>0</v>
      </c>
      <c r="AZ129" s="136">
        <v>0</v>
      </c>
      <c r="BA129" s="136">
        <v>0</v>
      </c>
      <c r="BB129" s="136">
        <v>0</v>
      </c>
      <c r="BC129" s="136">
        <v>0</v>
      </c>
      <c r="BD129" s="136">
        <v>1</v>
      </c>
      <c r="BE129" s="136">
        <v>0</v>
      </c>
      <c r="BF129" s="136">
        <v>0</v>
      </c>
      <c r="BG129" s="136">
        <v>0</v>
      </c>
      <c r="BH129" s="136">
        <v>0</v>
      </c>
      <c r="BI129" s="136">
        <v>0</v>
      </c>
      <c r="BJ129" s="136">
        <v>0</v>
      </c>
      <c r="BK129" s="136">
        <v>0</v>
      </c>
      <c r="BL129" s="136">
        <v>0</v>
      </c>
      <c r="BM129" s="136">
        <v>0</v>
      </c>
    </row>
    <row r="130" spans="43:65">
      <c r="AQ130" s="136">
        <v>1</v>
      </c>
      <c r="AR130" s="136">
        <v>0</v>
      </c>
      <c r="AS130" s="136">
        <v>0</v>
      </c>
      <c r="AT130" s="136">
        <v>1</v>
      </c>
      <c r="AU130" s="136">
        <v>0</v>
      </c>
      <c r="AV130" s="136">
        <v>1</v>
      </c>
      <c r="AW130" s="136">
        <v>1</v>
      </c>
      <c r="AX130" s="136">
        <v>1</v>
      </c>
      <c r="AY130" s="136">
        <v>1</v>
      </c>
    </row>
    <row r="131" spans="43:65">
      <c r="AU131" s="106">
        <v>1</v>
      </c>
      <c r="AX131" s="106">
        <v>1</v>
      </c>
      <c r="AY131" s="106">
        <v>1</v>
      </c>
      <c r="AZ131" s="136">
        <v>0</v>
      </c>
      <c r="BA131" s="136">
        <v>0</v>
      </c>
      <c r="BB131" s="136">
        <v>0</v>
      </c>
      <c r="BC131" s="136">
        <v>0</v>
      </c>
      <c r="BD131" s="136">
        <v>1</v>
      </c>
      <c r="BE131" s="136">
        <v>0</v>
      </c>
      <c r="BF131" s="136">
        <v>0</v>
      </c>
      <c r="BG131" s="136">
        <v>0</v>
      </c>
      <c r="BH131" s="136">
        <v>0</v>
      </c>
      <c r="BI131" s="136">
        <v>0</v>
      </c>
      <c r="BJ131" s="136">
        <v>0</v>
      </c>
      <c r="BK131" s="136">
        <v>0</v>
      </c>
      <c r="BL131" s="136">
        <v>0</v>
      </c>
      <c r="BM131" s="136">
        <v>0</v>
      </c>
    </row>
    <row r="132" spans="43:65">
      <c r="AU132" s="136">
        <v>1</v>
      </c>
      <c r="AV132" s="136">
        <v>0</v>
      </c>
      <c r="AW132" s="136">
        <v>0</v>
      </c>
      <c r="AX132" s="136">
        <v>1</v>
      </c>
      <c r="AY132" s="136">
        <v>0</v>
      </c>
      <c r="AZ132" s="136">
        <v>1</v>
      </c>
      <c r="BA132" s="136">
        <v>1</v>
      </c>
      <c r="BB132" s="136">
        <v>1</v>
      </c>
      <c r="BC132" s="136">
        <v>1</v>
      </c>
    </row>
    <row r="133" spans="43:65">
      <c r="AY133" s="106">
        <v>1</v>
      </c>
      <c r="AZ133" s="106">
        <v>1</v>
      </c>
      <c r="BA133" s="106">
        <v>1</v>
      </c>
      <c r="BB133" s="106">
        <v>1</v>
      </c>
      <c r="BC133" s="106">
        <v>1</v>
      </c>
      <c r="BD133" s="136">
        <v>1</v>
      </c>
      <c r="BE133" s="136">
        <v>0</v>
      </c>
      <c r="BF133" s="136">
        <v>0</v>
      </c>
      <c r="BG133" s="136">
        <v>0</v>
      </c>
      <c r="BH133" s="136">
        <v>0</v>
      </c>
      <c r="BI133" s="136">
        <v>0</v>
      </c>
      <c r="BJ133" s="136">
        <v>0</v>
      </c>
      <c r="BK133" s="136">
        <v>0</v>
      </c>
      <c r="BL133" s="136">
        <v>0</v>
      </c>
      <c r="BM133" s="136">
        <v>0</v>
      </c>
    </row>
    <row r="134" spans="43:65">
      <c r="AY134" s="136">
        <v>1</v>
      </c>
      <c r="AZ134" s="136">
        <v>0</v>
      </c>
      <c r="BA134" s="136">
        <v>0</v>
      </c>
      <c r="BB134" s="136">
        <v>1</v>
      </c>
      <c r="BC134" s="136">
        <v>0</v>
      </c>
      <c r="BD134" s="136">
        <v>1</v>
      </c>
      <c r="BE134" s="136">
        <v>1</v>
      </c>
      <c r="BF134" s="136">
        <v>1</v>
      </c>
      <c r="BG134" s="136">
        <v>1</v>
      </c>
    </row>
    <row r="135" spans="43:65">
      <c r="AZ135" s="106">
        <v>1</v>
      </c>
      <c r="BA135" s="106">
        <v>1</v>
      </c>
      <c r="BC135" s="106">
        <v>1</v>
      </c>
      <c r="BE135" s="106">
        <v>1</v>
      </c>
      <c r="BF135" s="106">
        <v>1</v>
      </c>
      <c r="BG135" s="106">
        <v>1</v>
      </c>
      <c r="BH135" s="136">
        <v>0</v>
      </c>
      <c r="BI135" s="136">
        <v>0</v>
      </c>
      <c r="BJ135" s="136">
        <v>0</v>
      </c>
      <c r="BK135" s="136">
        <v>0</v>
      </c>
      <c r="BL135" s="136">
        <v>0</v>
      </c>
      <c r="BM135" s="136">
        <v>0</v>
      </c>
    </row>
    <row r="136" spans="43:65">
      <c r="AZ136" s="136">
        <v>1</v>
      </c>
      <c r="BA136" s="136">
        <v>0</v>
      </c>
      <c r="BB136" s="136">
        <v>0</v>
      </c>
      <c r="BC136" s="136">
        <v>1</v>
      </c>
      <c r="BD136" s="136">
        <v>0</v>
      </c>
      <c r="BE136" s="136">
        <v>1</v>
      </c>
      <c r="BF136" s="136">
        <v>1</v>
      </c>
      <c r="BG136" s="136">
        <v>1</v>
      </c>
      <c r="BH136" s="136">
        <v>1</v>
      </c>
    </row>
    <row r="137" spans="43:65">
      <c r="BA137" s="106">
        <v>1</v>
      </c>
      <c r="BH137" s="106">
        <v>1</v>
      </c>
      <c r="BI137" s="136">
        <v>0</v>
      </c>
      <c r="BJ137" s="136">
        <v>0</v>
      </c>
      <c r="BK137" s="136">
        <v>0</v>
      </c>
      <c r="BL137" s="136">
        <v>0</v>
      </c>
      <c r="BM137" s="136">
        <v>0</v>
      </c>
    </row>
    <row r="138" spans="43:65">
      <c r="BA138" s="136">
        <v>1</v>
      </c>
      <c r="BB138" s="136">
        <v>0</v>
      </c>
      <c r="BC138" s="136">
        <v>0</v>
      </c>
      <c r="BD138" s="136">
        <v>1</v>
      </c>
      <c r="BE138" s="136">
        <v>0</v>
      </c>
      <c r="BF138" s="136">
        <v>1</v>
      </c>
      <c r="BG138" s="136">
        <v>1</v>
      </c>
      <c r="BH138" s="136">
        <v>1</v>
      </c>
      <c r="BI138" s="136">
        <v>1</v>
      </c>
    </row>
    <row r="139" spans="43:65">
      <c r="BD139" s="106">
        <v>1</v>
      </c>
      <c r="BF139" s="106">
        <v>1</v>
      </c>
      <c r="BG139" s="106">
        <v>1</v>
      </c>
      <c r="BI139" s="106">
        <v>1</v>
      </c>
      <c r="BJ139" s="136">
        <v>0</v>
      </c>
      <c r="BK139" s="136">
        <v>0</v>
      </c>
      <c r="BL139" s="136">
        <v>0</v>
      </c>
      <c r="BM139" s="136">
        <v>0</v>
      </c>
    </row>
    <row r="140" spans="43:65">
      <c r="BD140" s="136">
        <v>1</v>
      </c>
      <c r="BE140" s="136">
        <v>0</v>
      </c>
      <c r="BF140" s="136">
        <v>0</v>
      </c>
      <c r="BG140" s="136">
        <v>1</v>
      </c>
      <c r="BH140" s="136">
        <v>0</v>
      </c>
      <c r="BI140" s="136">
        <v>1</v>
      </c>
      <c r="BJ140" s="137">
        <v>1</v>
      </c>
      <c r="BK140" s="137">
        <v>1</v>
      </c>
      <c r="BL140" s="137">
        <v>1</v>
      </c>
    </row>
    <row r="141" spans="43:65">
      <c r="BF141" s="136">
        <v>1</v>
      </c>
      <c r="BG141" s="136"/>
      <c r="BH141" s="136"/>
      <c r="BI141" s="136"/>
      <c r="BJ141" s="136">
        <v>1</v>
      </c>
      <c r="BK141" s="136">
        <v>1</v>
      </c>
      <c r="BL141" s="136">
        <v>1</v>
      </c>
      <c r="BM141" s="136"/>
    </row>
    <row r="143" spans="43:65">
      <c r="BG143" s="106">
        <v>1</v>
      </c>
      <c r="BH143" s="106" t="s">
        <v>222</v>
      </c>
    </row>
  </sheetData>
  <mergeCells count="57">
    <mergeCell ref="AK3:AN3"/>
    <mergeCell ref="M2:P2"/>
    <mergeCell ref="Q2:T2"/>
    <mergeCell ref="W2:Z2"/>
    <mergeCell ref="AA2:AD2"/>
    <mergeCell ref="AG2:AJ2"/>
    <mergeCell ref="AK2:AN2"/>
    <mergeCell ref="M3:P3"/>
    <mergeCell ref="Q3:T3"/>
    <mergeCell ref="W3:Z3"/>
    <mergeCell ref="AA3:AD3"/>
    <mergeCell ref="AG3:AJ3"/>
    <mergeCell ref="AX6:BE6"/>
    <mergeCell ref="BF6:BM6"/>
    <mergeCell ref="BN6:BU6"/>
    <mergeCell ref="B7:E7"/>
    <mergeCell ref="F7:I7"/>
    <mergeCell ref="J7:M7"/>
    <mergeCell ref="N7:Q7"/>
    <mergeCell ref="R7:U7"/>
    <mergeCell ref="V7:Y7"/>
    <mergeCell ref="Z7:AC7"/>
    <mergeCell ref="B6:I6"/>
    <mergeCell ref="J6:Q6"/>
    <mergeCell ref="R6:Y6"/>
    <mergeCell ref="Z6:AG6"/>
    <mergeCell ref="AH6:AO6"/>
    <mergeCell ref="AP6:AW6"/>
    <mergeCell ref="BR7:BU7"/>
    <mergeCell ref="B8:E8"/>
    <mergeCell ref="F8:I8"/>
    <mergeCell ref="J8:M8"/>
    <mergeCell ref="N8:Q8"/>
    <mergeCell ref="R8:U8"/>
    <mergeCell ref="AD7:AG7"/>
    <mergeCell ref="AH7:AK7"/>
    <mergeCell ref="AL7:AO7"/>
    <mergeCell ref="AP7:AS7"/>
    <mergeCell ref="AT7:AW7"/>
    <mergeCell ref="AX7:BA7"/>
    <mergeCell ref="AP8:AS8"/>
    <mergeCell ref="BB7:BE7"/>
    <mergeCell ref="BF7:BI7"/>
    <mergeCell ref="BJ7:BM7"/>
    <mergeCell ref="BN7:BQ7"/>
    <mergeCell ref="V8:Y8"/>
    <mergeCell ref="Z8:AC8"/>
    <mergeCell ref="AD8:AG8"/>
    <mergeCell ref="AH8:AK8"/>
    <mergeCell ref="AL8:AO8"/>
    <mergeCell ref="BR8:BU8"/>
    <mergeCell ref="AT8:AW8"/>
    <mergeCell ref="AX8:BA8"/>
    <mergeCell ref="BB8:BE8"/>
    <mergeCell ref="BF8:BI8"/>
    <mergeCell ref="BJ8:BM8"/>
    <mergeCell ref="BN8:BQ8"/>
  </mergeCells>
  <phoneticPr fontId="2"/>
  <pageMargins left="0.7" right="0.7" top="0.75" bottom="0.75" header="0.3" footer="0.3"/>
  <pageSetup paperSize="9" orientation="portrait" r:id="rId1"/>
  <headerFooter>
    <oddHeader>&amp;R&amp;"Calibri"&amp;10&amp;K000000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13BC-6A3F-4756-8DFE-1D00AA5D8114}">
  <dimension ref="A1:CC86"/>
  <sheetViews>
    <sheetView zoomScale="85" zoomScaleNormal="85" workbookViewId="0">
      <pane ySplit="9" topLeftCell="A10" activePane="bottomLeft" state="frozen"/>
      <selection pane="bottomLeft" activeCell="A10" sqref="A10"/>
    </sheetView>
  </sheetViews>
  <sheetFormatPr defaultColWidth="5.69921875" defaultRowHeight="13.8"/>
  <cols>
    <col min="1" max="1" width="5.69921875" style="106"/>
    <col min="2" max="71" width="3.5" style="106" customWidth="1"/>
    <col min="72" max="72" width="4.69921875" style="106" customWidth="1"/>
    <col min="73" max="73" width="4.19921875" style="106" customWidth="1"/>
    <col min="74" max="16384" width="5.69921875" style="106"/>
  </cols>
  <sheetData>
    <row r="1" spans="1:73" ht="5.4" customHeight="1" thickBot="1">
      <c r="F1" s="107"/>
      <c r="G1" s="107"/>
      <c r="V1" s="106" t="s">
        <v>194</v>
      </c>
      <c r="AF1" s="106" t="s">
        <v>195</v>
      </c>
    </row>
    <row r="2" spans="1:73">
      <c r="F2" s="107"/>
      <c r="G2" s="107"/>
      <c r="I2" s="108" t="s">
        <v>196</v>
      </c>
      <c r="J2" s="109" t="s">
        <v>197</v>
      </c>
      <c r="L2" s="110">
        <v>1</v>
      </c>
      <c r="M2" s="185">
        <v>1</v>
      </c>
      <c r="N2" s="186"/>
      <c r="O2" s="186"/>
      <c r="P2" s="186"/>
      <c r="Q2" s="186" t="s">
        <v>198</v>
      </c>
      <c r="R2" s="186"/>
      <c r="S2" s="186"/>
      <c r="T2" s="187"/>
      <c r="V2" s="110"/>
      <c r="W2" s="185" t="s">
        <v>199</v>
      </c>
      <c r="X2" s="186"/>
      <c r="Y2" s="186"/>
      <c r="Z2" s="186"/>
      <c r="AA2" s="186" t="s">
        <v>199</v>
      </c>
      <c r="AB2" s="186"/>
      <c r="AC2" s="186"/>
      <c r="AD2" s="187"/>
      <c r="AF2" s="110"/>
      <c r="AG2" s="185" t="s">
        <v>199</v>
      </c>
      <c r="AH2" s="186"/>
      <c r="AI2" s="186"/>
      <c r="AJ2" s="186"/>
      <c r="AK2" s="186" t="s">
        <v>199</v>
      </c>
      <c r="AL2" s="186"/>
      <c r="AM2" s="186"/>
      <c r="AN2" s="187"/>
    </row>
    <row r="3" spans="1:73" ht="14.4" thickBot="1">
      <c r="F3" s="107"/>
      <c r="G3" s="107"/>
      <c r="I3" s="108"/>
      <c r="J3" s="109"/>
      <c r="L3" s="110"/>
      <c r="M3" s="188" t="str">
        <f t="shared" ref="M3" si="0">HEX2BIN(M2,4)</f>
        <v>0001</v>
      </c>
      <c r="N3" s="183"/>
      <c r="O3" s="183"/>
      <c r="P3" s="183"/>
      <c r="Q3" s="183" t="str">
        <f t="shared" ref="Q3" si="1">HEX2BIN(Q2,4)</f>
        <v>1101</v>
      </c>
      <c r="R3" s="183"/>
      <c r="S3" s="183"/>
      <c r="T3" s="184"/>
      <c r="V3" s="110"/>
      <c r="W3" s="188" t="str">
        <f t="shared" ref="W3" si="2">HEX2BIN(W2,4)</f>
        <v>1111</v>
      </c>
      <c r="X3" s="183"/>
      <c r="Y3" s="183"/>
      <c r="Z3" s="183"/>
      <c r="AA3" s="183" t="str">
        <f t="shared" ref="AA3" si="3">HEX2BIN(AA2,4)</f>
        <v>1111</v>
      </c>
      <c r="AB3" s="183"/>
      <c r="AC3" s="183"/>
      <c r="AD3" s="184"/>
      <c r="AF3" s="110"/>
      <c r="AG3" s="188" t="str">
        <f t="shared" ref="AG3" si="4">HEX2BIN(AG2,4)</f>
        <v>1111</v>
      </c>
      <c r="AH3" s="183"/>
      <c r="AI3" s="183"/>
      <c r="AJ3" s="183"/>
      <c r="AK3" s="183" t="str">
        <f t="shared" ref="AK3" si="5">HEX2BIN(AK2,4)</f>
        <v>1111</v>
      </c>
      <c r="AL3" s="183"/>
      <c r="AM3" s="183"/>
      <c r="AN3" s="184"/>
    </row>
    <row r="4" spans="1:73" ht="14.4" thickBot="1">
      <c r="F4" s="111" t="s">
        <v>200</v>
      </c>
      <c r="G4" s="106" t="s">
        <v>201</v>
      </c>
      <c r="H4" s="106" t="s">
        <v>202</v>
      </c>
      <c r="I4" s="112" t="str">
        <f>HEX2BIN(G4)</f>
        <v>100011101</v>
      </c>
      <c r="J4" s="107"/>
      <c r="L4" s="113">
        <v>1</v>
      </c>
      <c r="M4" s="114" t="str">
        <f>LEFT(M3,1)</f>
        <v>0</v>
      </c>
      <c r="N4" s="115" t="str">
        <f>RIGHT(LEFT(M3,2),1)</f>
        <v>0</v>
      </c>
      <c r="O4" s="115" t="str">
        <f>RIGHT(LEFT(M3,3),1)</f>
        <v>0</v>
      </c>
      <c r="P4" s="115" t="str">
        <f>RIGHT(LEFT(M3,4),1)</f>
        <v>1</v>
      </c>
      <c r="Q4" s="115" t="str">
        <f>LEFT(Q3,1)</f>
        <v>1</v>
      </c>
      <c r="R4" s="115" t="str">
        <f>RIGHT(LEFT(Q3,2),1)</f>
        <v>1</v>
      </c>
      <c r="S4" s="115" t="str">
        <f>RIGHT(LEFT(Q3,3),1)</f>
        <v>0</v>
      </c>
      <c r="T4" s="116" t="str">
        <f>RIGHT(LEFT(Q3,4),1)</f>
        <v>1</v>
      </c>
      <c r="V4" s="113"/>
      <c r="W4" s="117" t="str">
        <f>LEFT(W3,1)</f>
        <v>1</v>
      </c>
      <c r="X4" s="118" t="str">
        <f>RIGHT(LEFT(W3,2),1)</f>
        <v>1</v>
      </c>
      <c r="Y4" s="118" t="str">
        <f>RIGHT(LEFT(W3,3),1)</f>
        <v>1</v>
      </c>
      <c r="Z4" s="118" t="str">
        <f>RIGHT(LEFT(W3,4),1)</f>
        <v>1</v>
      </c>
      <c r="AA4" s="118" t="str">
        <f>LEFT(AA3,1)</f>
        <v>1</v>
      </c>
      <c r="AB4" s="118" t="str">
        <f>RIGHT(LEFT(AA3,2),1)</f>
        <v>1</v>
      </c>
      <c r="AC4" s="118" t="str">
        <f>RIGHT(LEFT(AA3,3),1)</f>
        <v>1</v>
      </c>
      <c r="AD4" s="119" t="str">
        <f>RIGHT(LEFT(AA3,4),1)</f>
        <v>1</v>
      </c>
      <c r="AF4" s="113"/>
      <c r="AG4" s="117" t="str">
        <f>LEFT(AG3,1)</f>
        <v>1</v>
      </c>
      <c r="AH4" s="118" t="str">
        <f>RIGHT(LEFT(AG3,2),1)</f>
        <v>1</v>
      </c>
      <c r="AI4" s="118" t="str">
        <f>RIGHT(LEFT(AG3,3),1)</f>
        <v>1</v>
      </c>
      <c r="AJ4" s="118" t="str">
        <f>RIGHT(LEFT(AG3,4),1)</f>
        <v>1</v>
      </c>
      <c r="AK4" s="118" t="str">
        <f>LEFT(AK3,1)</f>
        <v>1</v>
      </c>
      <c r="AL4" s="118" t="str">
        <f>RIGHT(LEFT(AK3,2),1)</f>
        <v>1</v>
      </c>
      <c r="AM4" s="118" t="str">
        <f>RIGHT(LEFT(AK3,3),1)</f>
        <v>1</v>
      </c>
      <c r="AN4" s="119" t="str">
        <f>RIGHT(LEFT(AK3,4),1)</f>
        <v>1</v>
      </c>
    </row>
    <row r="5" spans="1:73" ht="7.2" customHeight="1" thickBot="1">
      <c r="F5" s="107"/>
      <c r="G5" s="107"/>
      <c r="I5" s="108"/>
      <c r="J5" s="109"/>
    </row>
    <row r="6" spans="1:73">
      <c r="A6" s="106" t="s">
        <v>203</v>
      </c>
      <c r="B6" s="177" t="s">
        <v>204</v>
      </c>
      <c r="C6" s="178"/>
      <c r="D6" s="178"/>
      <c r="E6" s="178"/>
      <c r="F6" s="178"/>
      <c r="G6" s="178"/>
      <c r="H6" s="178"/>
      <c r="I6" s="179"/>
      <c r="J6" s="177" t="s">
        <v>205</v>
      </c>
      <c r="K6" s="178"/>
      <c r="L6" s="178"/>
      <c r="M6" s="178"/>
      <c r="N6" s="178"/>
      <c r="O6" s="178"/>
      <c r="P6" s="178"/>
      <c r="Q6" s="178"/>
      <c r="R6" s="182" t="s">
        <v>206</v>
      </c>
      <c r="S6" s="178"/>
      <c r="T6" s="178"/>
      <c r="U6" s="178"/>
      <c r="V6" s="178"/>
      <c r="W6" s="178"/>
      <c r="X6" s="178"/>
      <c r="Y6" s="179"/>
      <c r="Z6" s="177" t="s">
        <v>207</v>
      </c>
      <c r="AA6" s="178"/>
      <c r="AB6" s="178"/>
      <c r="AC6" s="178"/>
      <c r="AD6" s="178"/>
      <c r="AE6" s="178"/>
      <c r="AF6" s="178"/>
      <c r="AG6" s="179"/>
      <c r="AH6" s="177" t="s">
        <v>208</v>
      </c>
      <c r="AI6" s="178"/>
      <c r="AJ6" s="178"/>
      <c r="AK6" s="178"/>
      <c r="AL6" s="178"/>
      <c r="AM6" s="178"/>
      <c r="AN6" s="178"/>
      <c r="AO6" s="180"/>
      <c r="AP6" s="177" t="s">
        <v>209</v>
      </c>
      <c r="AQ6" s="178"/>
      <c r="AR6" s="178"/>
      <c r="AS6" s="178"/>
      <c r="AT6" s="178"/>
      <c r="AU6" s="178"/>
      <c r="AV6" s="178"/>
      <c r="AW6" s="179"/>
      <c r="AX6" s="177" t="s">
        <v>210</v>
      </c>
      <c r="AY6" s="178"/>
      <c r="AZ6" s="178"/>
      <c r="BA6" s="178"/>
      <c r="BB6" s="178"/>
      <c r="BC6" s="178"/>
      <c r="BD6" s="178"/>
      <c r="BE6" s="179"/>
      <c r="BF6" s="177" t="s">
        <v>211</v>
      </c>
      <c r="BG6" s="178"/>
      <c r="BH6" s="178"/>
      <c r="BI6" s="178"/>
      <c r="BJ6" s="178"/>
      <c r="BK6" s="178"/>
      <c r="BL6" s="178"/>
      <c r="BM6" s="180"/>
      <c r="BN6" s="177" t="s">
        <v>212</v>
      </c>
      <c r="BO6" s="178"/>
      <c r="BP6" s="178"/>
      <c r="BQ6" s="178"/>
      <c r="BR6" s="178"/>
      <c r="BS6" s="178"/>
      <c r="BT6" s="178"/>
      <c r="BU6" s="179"/>
    </row>
    <row r="7" spans="1:73">
      <c r="A7" s="106" t="s">
        <v>213</v>
      </c>
      <c r="B7" s="176">
        <v>0</v>
      </c>
      <c r="C7" s="173"/>
      <c r="D7" s="173"/>
      <c r="E7" s="173"/>
      <c r="F7" s="173">
        <v>3</v>
      </c>
      <c r="G7" s="173"/>
      <c r="H7" s="173"/>
      <c r="I7" s="181"/>
      <c r="J7" s="176" t="s">
        <v>214</v>
      </c>
      <c r="K7" s="173"/>
      <c r="L7" s="173"/>
      <c r="M7" s="173"/>
      <c r="N7" s="173">
        <v>0</v>
      </c>
      <c r="O7" s="173"/>
      <c r="P7" s="173"/>
      <c r="Q7" s="175"/>
      <c r="R7" s="176" t="s">
        <v>199</v>
      </c>
      <c r="S7" s="173"/>
      <c r="T7" s="173"/>
      <c r="U7" s="173"/>
      <c r="V7" s="173">
        <v>0</v>
      </c>
      <c r="W7" s="173"/>
      <c r="X7" s="173"/>
      <c r="Y7" s="181"/>
      <c r="Z7" s="176">
        <v>0</v>
      </c>
      <c r="AA7" s="173"/>
      <c r="AB7" s="173"/>
      <c r="AC7" s="173"/>
      <c r="AD7" s="173">
        <v>0</v>
      </c>
      <c r="AE7" s="173"/>
      <c r="AF7" s="173"/>
      <c r="AG7" s="175"/>
      <c r="AH7" s="176">
        <v>0</v>
      </c>
      <c r="AI7" s="173"/>
      <c r="AJ7" s="173"/>
      <c r="AK7" s="173"/>
      <c r="AL7" s="173">
        <v>0</v>
      </c>
      <c r="AM7" s="173"/>
      <c r="AN7" s="173"/>
      <c r="AO7" s="175"/>
      <c r="AP7" s="176">
        <v>0</v>
      </c>
      <c r="AQ7" s="173"/>
      <c r="AR7" s="173"/>
      <c r="AS7" s="173"/>
      <c r="AT7" s="173">
        <v>0</v>
      </c>
      <c r="AU7" s="173"/>
      <c r="AV7" s="173"/>
      <c r="AW7" s="175"/>
      <c r="AX7" s="176">
        <v>0</v>
      </c>
      <c r="AY7" s="173"/>
      <c r="AZ7" s="173"/>
      <c r="BA7" s="173"/>
      <c r="BB7" s="173">
        <v>0</v>
      </c>
      <c r="BC7" s="173"/>
      <c r="BD7" s="173"/>
      <c r="BE7" s="175"/>
      <c r="BF7" s="176">
        <v>0</v>
      </c>
      <c r="BG7" s="173"/>
      <c r="BH7" s="173"/>
      <c r="BI7" s="173"/>
      <c r="BJ7" s="173">
        <v>0</v>
      </c>
      <c r="BK7" s="173"/>
      <c r="BL7" s="173"/>
      <c r="BM7" s="173"/>
      <c r="BN7" s="172">
        <v>0</v>
      </c>
      <c r="BO7" s="173"/>
      <c r="BP7" s="173"/>
      <c r="BQ7" s="173"/>
      <c r="BR7" s="173">
        <v>0</v>
      </c>
      <c r="BS7" s="173"/>
      <c r="BT7" s="173"/>
      <c r="BU7" s="175"/>
    </row>
    <row r="8" spans="1:73">
      <c r="A8" s="106" t="s">
        <v>215</v>
      </c>
      <c r="B8" s="170" t="str">
        <f>HEX2BIN(B7,4)</f>
        <v>0000</v>
      </c>
      <c r="C8" s="168"/>
      <c r="D8" s="168"/>
      <c r="E8" s="168"/>
      <c r="F8" s="171" t="str">
        <f>HEX2BIN(F7,4)</f>
        <v>0011</v>
      </c>
      <c r="G8" s="168"/>
      <c r="H8" s="168"/>
      <c r="I8" s="168"/>
      <c r="J8" s="168" t="str">
        <f t="shared" ref="J8" si="6">HEX2BIN(J7,4)</f>
        <v>1011</v>
      </c>
      <c r="K8" s="168"/>
      <c r="L8" s="168"/>
      <c r="M8" s="168"/>
      <c r="N8" s="168" t="str">
        <f t="shared" ref="N8" si="7">HEX2BIN(N7,4)</f>
        <v>0000</v>
      </c>
      <c r="O8" s="168"/>
      <c r="P8" s="168"/>
      <c r="Q8" s="168"/>
      <c r="R8" s="171" t="str">
        <f t="shared" ref="R8" si="8">HEX2BIN(R7,4)</f>
        <v>1111</v>
      </c>
      <c r="S8" s="168"/>
      <c r="T8" s="168"/>
      <c r="U8" s="168"/>
      <c r="V8" s="168" t="str">
        <f t="shared" ref="V8" si="9">HEX2BIN(V7,4)</f>
        <v>0000</v>
      </c>
      <c r="W8" s="168"/>
      <c r="X8" s="168"/>
      <c r="Y8" s="174"/>
      <c r="Z8" s="170" t="str">
        <f t="shared" ref="Z8" si="10">HEX2BIN(Z7,4)</f>
        <v>0000</v>
      </c>
      <c r="AA8" s="168"/>
      <c r="AB8" s="168"/>
      <c r="AC8" s="168"/>
      <c r="AD8" s="168" t="str">
        <f t="shared" ref="AD8" si="11">HEX2BIN(AD7,4)</f>
        <v>0000</v>
      </c>
      <c r="AE8" s="168"/>
      <c r="AF8" s="168"/>
      <c r="AG8" s="169"/>
      <c r="AH8" s="170" t="str">
        <f t="shared" ref="AH8" si="12">HEX2BIN(AH7,4)</f>
        <v>0000</v>
      </c>
      <c r="AI8" s="168"/>
      <c r="AJ8" s="168"/>
      <c r="AK8" s="168"/>
      <c r="AL8" s="168" t="str">
        <f t="shared" ref="AL8" si="13">HEX2BIN(AL7,4)</f>
        <v>0000</v>
      </c>
      <c r="AM8" s="168"/>
      <c r="AN8" s="168"/>
      <c r="AO8" s="169"/>
      <c r="AP8" s="170" t="str">
        <f t="shared" ref="AP8" si="14">HEX2BIN(AP7,4)</f>
        <v>0000</v>
      </c>
      <c r="AQ8" s="168"/>
      <c r="AR8" s="168"/>
      <c r="AS8" s="168"/>
      <c r="AT8" s="168" t="str">
        <f t="shared" ref="AT8" si="15">HEX2BIN(AT7,4)</f>
        <v>0000</v>
      </c>
      <c r="AU8" s="168"/>
      <c r="AV8" s="168"/>
      <c r="AW8" s="169"/>
      <c r="AX8" s="170" t="str">
        <f t="shared" ref="AX8" si="16">HEX2BIN(AX7,4)</f>
        <v>0000</v>
      </c>
      <c r="AY8" s="168"/>
      <c r="AZ8" s="168"/>
      <c r="BA8" s="168"/>
      <c r="BB8" s="168" t="str">
        <f t="shared" ref="BB8" si="17">HEX2BIN(BB7,4)</f>
        <v>0000</v>
      </c>
      <c r="BC8" s="168"/>
      <c r="BD8" s="168"/>
      <c r="BE8" s="169"/>
      <c r="BF8" s="170" t="str">
        <f t="shared" ref="BF8" si="18">HEX2BIN(BF7,4)</f>
        <v>0000</v>
      </c>
      <c r="BG8" s="168"/>
      <c r="BH8" s="168"/>
      <c r="BI8" s="168"/>
      <c r="BJ8" s="168" t="str">
        <f t="shared" ref="BJ8" si="19">HEX2BIN(BJ7,4)</f>
        <v>0000</v>
      </c>
      <c r="BK8" s="168"/>
      <c r="BL8" s="168"/>
      <c r="BM8" s="168"/>
      <c r="BN8" s="171" t="str">
        <f t="shared" ref="BN8" si="20">HEX2BIN(BN7,4)</f>
        <v>0000</v>
      </c>
      <c r="BO8" s="168"/>
      <c r="BP8" s="168"/>
      <c r="BQ8" s="168"/>
      <c r="BR8" s="168" t="str">
        <f t="shared" ref="BR8" si="21">HEX2BIN(BR7,4)</f>
        <v>0000</v>
      </c>
      <c r="BS8" s="168"/>
      <c r="BT8" s="168"/>
      <c r="BU8" s="169"/>
    </row>
    <row r="9" spans="1:73" ht="14.4" thickBot="1">
      <c r="B9" s="120" t="str">
        <f>LEFT(B8,1)</f>
        <v>0</v>
      </c>
      <c r="C9" s="121" t="str">
        <f>RIGHT(LEFT(B8,2),1)</f>
        <v>0</v>
      </c>
      <c r="D9" s="121" t="str">
        <f>RIGHT(LEFT(B8,3),1)</f>
        <v>0</v>
      </c>
      <c r="E9" s="121" t="str">
        <f>RIGHT(LEFT(B8,4),1)</f>
        <v>0</v>
      </c>
      <c r="F9" s="121" t="str">
        <f>LEFT(F8,1)</f>
        <v>0</v>
      </c>
      <c r="G9" s="121" t="str">
        <f>RIGHT(LEFT(F8,2),1)</f>
        <v>0</v>
      </c>
      <c r="H9" s="121" t="str">
        <f>RIGHT(LEFT(F8,3),1)</f>
        <v>1</v>
      </c>
      <c r="I9" s="122" t="str">
        <f>RIGHT(LEFT(F8,4),1)</f>
        <v>1</v>
      </c>
      <c r="J9" s="121" t="str">
        <f>LEFT(J8,1)</f>
        <v>1</v>
      </c>
      <c r="K9" s="121" t="str">
        <f>RIGHT(LEFT(J8,2),1)</f>
        <v>0</v>
      </c>
      <c r="L9" s="121" t="str">
        <f>RIGHT(LEFT(J8,3),1)</f>
        <v>1</v>
      </c>
      <c r="M9" s="122" t="str">
        <f>RIGHT(LEFT(J8,4),1)</f>
        <v>1</v>
      </c>
      <c r="N9" s="121" t="str">
        <f>LEFT(N8,1)</f>
        <v>0</v>
      </c>
      <c r="O9" s="121" t="str">
        <f>RIGHT(LEFT(N8,2),1)</f>
        <v>0</v>
      </c>
      <c r="P9" s="121" t="str">
        <f>RIGHT(LEFT(N8,3),1)</f>
        <v>0</v>
      </c>
      <c r="Q9" s="121" t="str">
        <f>RIGHT(LEFT(N8,4),1)</f>
        <v>0</v>
      </c>
      <c r="R9" s="123" t="str">
        <f>LEFT(R8,1)</f>
        <v>1</v>
      </c>
      <c r="S9" s="121" t="str">
        <f>RIGHT(LEFT(R8,2),1)</f>
        <v>1</v>
      </c>
      <c r="T9" s="121" t="str">
        <f>RIGHT(LEFT(R8,3),1)</f>
        <v>1</v>
      </c>
      <c r="U9" s="121" t="str">
        <f>RIGHT(LEFT(R8,4),1)</f>
        <v>1</v>
      </c>
      <c r="V9" s="121" t="str">
        <f>LEFT(V8,1)</f>
        <v>0</v>
      </c>
      <c r="W9" s="121" t="str">
        <f>RIGHT(LEFT(V8,2),1)</f>
        <v>0</v>
      </c>
      <c r="X9" s="121" t="str">
        <f>RIGHT(LEFT(V8,3),1)</f>
        <v>0</v>
      </c>
      <c r="Y9" s="122" t="str">
        <f>RIGHT(LEFT(V8,4),1)</f>
        <v>0</v>
      </c>
      <c r="Z9" s="120" t="str">
        <f>LEFT(Z8,1)</f>
        <v>0</v>
      </c>
      <c r="AA9" s="121" t="str">
        <f>RIGHT(LEFT(Z8,2),1)</f>
        <v>0</v>
      </c>
      <c r="AB9" s="121" t="str">
        <f>RIGHT(LEFT(Z8,3),1)</f>
        <v>0</v>
      </c>
      <c r="AC9" s="121" t="str">
        <f>RIGHT(LEFT(Z8,4),1)</f>
        <v>0</v>
      </c>
      <c r="AD9" s="121" t="str">
        <f>LEFT(AD8,1)</f>
        <v>0</v>
      </c>
      <c r="AE9" s="121" t="str">
        <f>RIGHT(LEFT(AD8,2),1)</f>
        <v>0</v>
      </c>
      <c r="AF9" s="121" t="str">
        <f>RIGHT(LEFT(AD8,3),1)</f>
        <v>0</v>
      </c>
      <c r="AG9" s="124" t="str">
        <f>RIGHT(LEFT(AD8,4),1)</f>
        <v>0</v>
      </c>
      <c r="AH9" s="120" t="str">
        <f>LEFT(AH8,1)</f>
        <v>0</v>
      </c>
      <c r="AI9" s="121" t="str">
        <f>RIGHT(LEFT(AH8,2),1)</f>
        <v>0</v>
      </c>
      <c r="AJ9" s="121" t="str">
        <f>RIGHT(LEFT(AH8,3),1)</f>
        <v>0</v>
      </c>
      <c r="AK9" s="121" t="str">
        <f>RIGHT(LEFT(AH8,4),1)</f>
        <v>0</v>
      </c>
      <c r="AL9" s="121" t="str">
        <f>LEFT(AL8,1)</f>
        <v>0</v>
      </c>
      <c r="AM9" s="121" t="str">
        <f>RIGHT(LEFT(AL8,2),1)</f>
        <v>0</v>
      </c>
      <c r="AN9" s="121" t="str">
        <f>RIGHT(LEFT(AL8,3),1)</f>
        <v>0</v>
      </c>
      <c r="AO9" s="124" t="str">
        <f>RIGHT(LEFT(AL8,4),1)</f>
        <v>0</v>
      </c>
      <c r="AP9" s="120" t="str">
        <f>LEFT(AP8,1)</f>
        <v>0</v>
      </c>
      <c r="AQ9" s="121" t="str">
        <f>RIGHT(LEFT(AP8,2),1)</f>
        <v>0</v>
      </c>
      <c r="AR9" s="121" t="str">
        <f>RIGHT(LEFT(AP8,3),1)</f>
        <v>0</v>
      </c>
      <c r="AS9" s="121" t="str">
        <f>RIGHT(LEFT(AP8,4),1)</f>
        <v>0</v>
      </c>
      <c r="AT9" s="121" t="str">
        <f>LEFT(AT8,1)</f>
        <v>0</v>
      </c>
      <c r="AU9" s="121" t="str">
        <f>RIGHT(LEFT(AT8,2),1)</f>
        <v>0</v>
      </c>
      <c r="AV9" s="121" t="str">
        <f>RIGHT(LEFT(AT8,3),1)</f>
        <v>0</v>
      </c>
      <c r="AW9" s="124" t="str">
        <f>RIGHT(LEFT(AT8,4),1)</f>
        <v>0</v>
      </c>
      <c r="AX9" s="120" t="str">
        <f>LEFT(AX8,1)</f>
        <v>0</v>
      </c>
      <c r="AY9" s="121" t="str">
        <f>RIGHT(LEFT(AX8,2),1)</f>
        <v>0</v>
      </c>
      <c r="AZ9" s="121" t="str">
        <f>RIGHT(LEFT(AX8,3),1)</f>
        <v>0</v>
      </c>
      <c r="BA9" s="121" t="str">
        <f>RIGHT(LEFT(AX8,4),1)</f>
        <v>0</v>
      </c>
      <c r="BB9" s="121" t="str">
        <f>LEFT(BB8,1)</f>
        <v>0</v>
      </c>
      <c r="BC9" s="121" t="str">
        <f>RIGHT(LEFT(BB8,2),1)</f>
        <v>0</v>
      </c>
      <c r="BD9" s="121" t="str">
        <f>RIGHT(LEFT(BB8,3),1)</f>
        <v>0</v>
      </c>
      <c r="BE9" s="124" t="str">
        <f>RIGHT(LEFT(BB8,4),1)</f>
        <v>0</v>
      </c>
      <c r="BF9" s="120" t="str">
        <f>LEFT(BF8,1)</f>
        <v>0</v>
      </c>
      <c r="BG9" s="121" t="str">
        <f>RIGHT(LEFT(BF8,2),1)</f>
        <v>0</v>
      </c>
      <c r="BH9" s="121" t="str">
        <f>RIGHT(LEFT(BF8,3),1)</f>
        <v>0</v>
      </c>
      <c r="BI9" s="121" t="str">
        <f>RIGHT(LEFT(BF8,4),1)</f>
        <v>0</v>
      </c>
      <c r="BJ9" s="121" t="str">
        <f>LEFT(BJ8,1)</f>
        <v>0</v>
      </c>
      <c r="BK9" s="121" t="str">
        <f>RIGHT(LEFT(BJ8,2),1)</f>
        <v>0</v>
      </c>
      <c r="BL9" s="121" t="str">
        <f>RIGHT(LEFT(BJ8,3),1)</f>
        <v>0</v>
      </c>
      <c r="BM9" s="121" t="str">
        <f>RIGHT(LEFT(BJ8,4),1)</f>
        <v>0</v>
      </c>
      <c r="BN9" s="123" t="str">
        <f>LEFT(BN8,1)</f>
        <v>0</v>
      </c>
      <c r="BO9" s="121" t="str">
        <f>RIGHT(LEFT(BN8,2),1)</f>
        <v>0</v>
      </c>
      <c r="BP9" s="121" t="str">
        <f>RIGHT(LEFT(BN8,3),1)</f>
        <v>0</v>
      </c>
      <c r="BQ9" s="121" t="str">
        <f>RIGHT(LEFT(BN8,4),1)</f>
        <v>0</v>
      </c>
      <c r="BR9" s="121" t="str">
        <f>LEFT(BR8,1)</f>
        <v>0</v>
      </c>
      <c r="BS9" s="121" t="str">
        <f>RIGHT(LEFT(BR8,2),1)</f>
        <v>0</v>
      </c>
      <c r="BT9" s="121" t="str">
        <f>RIGHT(LEFT(BR8,3),1)</f>
        <v>0</v>
      </c>
      <c r="BU9" s="124" t="str">
        <f>RIGHT(LEFT(BR8,4),1)</f>
        <v>0</v>
      </c>
    </row>
    <row r="10" spans="1:73" ht="10.8" customHeight="1" thickBot="1">
      <c r="A10" s="106" t="s">
        <v>194</v>
      </c>
      <c r="B10" s="117" t="s">
        <v>216</v>
      </c>
      <c r="C10" s="118" t="s">
        <v>216</v>
      </c>
      <c r="D10" s="118" t="s">
        <v>216</v>
      </c>
      <c r="E10" s="118" t="s">
        <v>216</v>
      </c>
      <c r="F10" s="118" t="s">
        <v>216</v>
      </c>
      <c r="G10" s="118" t="s">
        <v>216</v>
      </c>
      <c r="H10" s="118" t="s">
        <v>216</v>
      </c>
      <c r="I10" s="119" t="s">
        <v>216</v>
      </c>
      <c r="Q10" s="125"/>
      <c r="BM10" s="126"/>
      <c r="BU10" s="125"/>
    </row>
    <row r="11" spans="1:73" ht="10.8" customHeight="1" thickBot="1">
      <c r="B11" s="127">
        <f t="shared" ref="B11:I11" si="22">IF(B9+B10=1,1,0)</f>
        <v>1</v>
      </c>
      <c r="C11" s="127">
        <f t="shared" si="22"/>
        <v>1</v>
      </c>
      <c r="D11" s="127">
        <f t="shared" si="22"/>
        <v>1</v>
      </c>
      <c r="E11" s="128">
        <f t="shared" si="22"/>
        <v>1</v>
      </c>
      <c r="F11" s="127">
        <f t="shared" si="22"/>
        <v>1</v>
      </c>
      <c r="G11" s="127">
        <f t="shared" si="22"/>
        <v>1</v>
      </c>
      <c r="H11" s="127">
        <f t="shared" si="22"/>
        <v>0</v>
      </c>
      <c r="I11" s="129">
        <f t="shared" si="22"/>
        <v>0</v>
      </c>
      <c r="J11" s="121">
        <v>1</v>
      </c>
      <c r="Q11" s="126"/>
      <c r="BM11" s="126"/>
      <c r="BU11" s="126"/>
    </row>
    <row r="12" spans="1:73" ht="10.8" customHeight="1" thickBot="1">
      <c r="B12" s="113">
        <v>1</v>
      </c>
      <c r="C12" s="114" t="s">
        <v>217</v>
      </c>
      <c r="D12" s="115" t="s">
        <v>217</v>
      </c>
      <c r="E12" s="115" t="s">
        <v>217</v>
      </c>
      <c r="F12" s="115" t="s">
        <v>216</v>
      </c>
      <c r="G12" s="115" t="s">
        <v>216</v>
      </c>
      <c r="H12" s="115" t="s">
        <v>216</v>
      </c>
      <c r="I12" s="115" t="s">
        <v>217</v>
      </c>
      <c r="J12" s="116" t="s">
        <v>216</v>
      </c>
      <c r="Q12" s="126"/>
      <c r="BM12" s="126"/>
      <c r="BU12" s="126"/>
    </row>
    <row r="13" spans="1:73" ht="10.8" customHeight="1" thickBot="1">
      <c r="C13" s="127">
        <f t="shared" ref="C13:J13" si="23">IF(C11+C12=1,1,0)</f>
        <v>1</v>
      </c>
      <c r="D13" s="127">
        <f t="shared" si="23"/>
        <v>1</v>
      </c>
      <c r="E13" s="127">
        <f t="shared" si="23"/>
        <v>1</v>
      </c>
      <c r="F13" s="128">
        <f t="shared" si="23"/>
        <v>0</v>
      </c>
      <c r="G13" s="127">
        <f t="shared" si="23"/>
        <v>0</v>
      </c>
      <c r="H13" s="127">
        <f t="shared" si="23"/>
        <v>1</v>
      </c>
      <c r="I13" s="127">
        <f t="shared" si="23"/>
        <v>0</v>
      </c>
      <c r="J13" s="129">
        <f t="shared" si="23"/>
        <v>0</v>
      </c>
      <c r="BU13" s="126"/>
    </row>
    <row r="14" spans="1:73" ht="10.8" customHeight="1" thickBot="1">
      <c r="C14" s="113">
        <v>1</v>
      </c>
      <c r="D14" s="114" t="s">
        <v>217</v>
      </c>
      <c r="E14" s="115" t="s">
        <v>217</v>
      </c>
      <c r="F14" s="115" t="s">
        <v>217</v>
      </c>
      <c r="G14" s="115" t="s">
        <v>216</v>
      </c>
      <c r="H14" s="115" t="s">
        <v>216</v>
      </c>
      <c r="I14" s="115" t="s">
        <v>216</v>
      </c>
      <c r="J14" s="115" t="s">
        <v>217</v>
      </c>
      <c r="K14" s="116" t="s">
        <v>216</v>
      </c>
      <c r="BU14" s="126"/>
    </row>
    <row r="15" spans="1:73" ht="10.8" customHeight="1" thickBot="1">
      <c r="D15" s="127">
        <f t="shared" ref="D15:K15" si="24">IF(D13+D14=1,1,0)</f>
        <v>1</v>
      </c>
      <c r="E15" s="127">
        <f t="shared" si="24"/>
        <v>1</v>
      </c>
      <c r="F15" s="127">
        <f t="shared" si="24"/>
        <v>0</v>
      </c>
      <c r="G15" s="128">
        <f t="shared" si="24"/>
        <v>1</v>
      </c>
      <c r="H15" s="127">
        <f t="shared" si="24"/>
        <v>0</v>
      </c>
      <c r="I15" s="127">
        <f t="shared" si="24"/>
        <v>1</v>
      </c>
      <c r="J15" s="127">
        <f t="shared" si="24"/>
        <v>0</v>
      </c>
      <c r="K15" s="129">
        <f t="shared" si="24"/>
        <v>1</v>
      </c>
      <c r="L15" s="121">
        <v>1</v>
      </c>
      <c r="BU15" s="126"/>
    </row>
    <row r="16" spans="1:73" ht="10.8" customHeight="1" thickBot="1">
      <c r="D16" s="113">
        <v>1</v>
      </c>
      <c r="E16" s="114" t="s">
        <v>217</v>
      </c>
      <c r="F16" s="115" t="s">
        <v>217</v>
      </c>
      <c r="G16" s="115" t="s">
        <v>217</v>
      </c>
      <c r="H16" s="115" t="s">
        <v>216</v>
      </c>
      <c r="I16" s="115" t="s">
        <v>216</v>
      </c>
      <c r="J16" s="115" t="s">
        <v>216</v>
      </c>
      <c r="K16" s="115" t="s">
        <v>217</v>
      </c>
      <c r="L16" s="116" t="s">
        <v>216</v>
      </c>
      <c r="BU16" s="126"/>
    </row>
    <row r="17" spans="5:73" ht="10.8" customHeight="1" thickBot="1">
      <c r="E17" s="127">
        <f t="shared" ref="E17:L17" si="25">IF(E15+E16=1,1,0)</f>
        <v>1</v>
      </c>
      <c r="F17" s="127">
        <f t="shared" si="25"/>
        <v>0</v>
      </c>
      <c r="G17" s="127">
        <f t="shared" si="25"/>
        <v>1</v>
      </c>
      <c r="H17" s="128">
        <f t="shared" si="25"/>
        <v>1</v>
      </c>
      <c r="I17" s="127">
        <f t="shared" si="25"/>
        <v>0</v>
      </c>
      <c r="J17" s="127">
        <f t="shared" si="25"/>
        <v>1</v>
      </c>
      <c r="K17" s="127">
        <f t="shared" si="25"/>
        <v>1</v>
      </c>
      <c r="L17" s="129">
        <f t="shared" si="25"/>
        <v>0</v>
      </c>
      <c r="M17" s="121">
        <v>1</v>
      </c>
      <c r="BU17" s="126"/>
    </row>
    <row r="18" spans="5:73" ht="10.8" customHeight="1" thickBot="1">
      <c r="E18" s="113">
        <v>1</v>
      </c>
      <c r="F18" s="114" t="s">
        <v>217</v>
      </c>
      <c r="G18" s="115" t="s">
        <v>217</v>
      </c>
      <c r="H18" s="115" t="s">
        <v>217</v>
      </c>
      <c r="I18" s="115" t="s">
        <v>216</v>
      </c>
      <c r="J18" s="115" t="s">
        <v>216</v>
      </c>
      <c r="K18" s="115" t="s">
        <v>216</v>
      </c>
      <c r="L18" s="115" t="s">
        <v>217</v>
      </c>
      <c r="M18" s="116" t="s">
        <v>216</v>
      </c>
      <c r="BU18" s="126"/>
    </row>
    <row r="19" spans="5:73" ht="10.8" customHeight="1" thickBot="1">
      <c r="F19" s="127">
        <f t="shared" ref="F19:M19" si="26">IF(F17+F18=1,1,0)</f>
        <v>0</v>
      </c>
      <c r="G19" s="127">
        <f t="shared" si="26"/>
        <v>1</v>
      </c>
      <c r="H19" s="127">
        <f t="shared" si="26"/>
        <v>1</v>
      </c>
      <c r="I19" s="128">
        <f t="shared" si="26"/>
        <v>1</v>
      </c>
      <c r="J19" s="127">
        <f t="shared" si="26"/>
        <v>0</v>
      </c>
      <c r="K19" s="127">
        <f t="shared" si="26"/>
        <v>0</v>
      </c>
      <c r="L19" s="127">
        <f t="shared" si="26"/>
        <v>0</v>
      </c>
      <c r="M19" s="129">
        <f t="shared" si="26"/>
        <v>0</v>
      </c>
      <c r="BU19" s="126"/>
    </row>
    <row r="20" spans="5:73" ht="10.8" customHeight="1" thickBot="1">
      <c r="G20" s="113">
        <v>1</v>
      </c>
      <c r="H20" s="114" t="s">
        <v>217</v>
      </c>
      <c r="I20" s="115" t="s">
        <v>217</v>
      </c>
      <c r="J20" s="115" t="s">
        <v>217</v>
      </c>
      <c r="K20" s="115" t="s">
        <v>216</v>
      </c>
      <c r="L20" s="115" t="s">
        <v>216</v>
      </c>
      <c r="M20" s="115" t="s">
        <v>216</v>
      </c>
      <c r="N20" s="115" t="s">
        <v>217</v>
      </c>
      <c r="O20" s="116" t="s">
        <v>216</v>
      </c>
      <c r="BU20" s="126"/>
    </row>
    <row r="21" spans="5:73" ht="10.8" customHeight="1" thickBot="1">
      <c r="H21" s="127">
        <f t="shared" ref="H21:O21" si="27">IF(H19+H20=1,1,0)</f>
        <v>1</v>
      </c>
      <c r="I21" s="127">
        <f t="shared" si="27"/>
        <v>1</v>
      </c>
      <c r="J21" s="127">
        <f t="shared" si="27"/>
        <v>0</v>
      </c>
      <c r="K21" s="128">
        <f t="shared" si="27"/>
        <v>1</v>
      </c>
      <c r="L21" s="127">
        <f t="shared" si="27"/>
        <v>1</v>
      </c>
      <c r="M21" s="127">
        <f t="shared" si="27"/>
        <v>1</v>
      </c>
      <c r="N21" s="127">
        <f t="shared" si="27"/>
        <v>0</v>
      </c>
      <c r="O21" s="129">
        <f t="shared" si="27"/>
        <v>1</v>
      </c>
      <c r="BU21" s="126"/>
    </row>
    <row r="22" spans="5:73" ht="10.8" customHeight="1" thickBot="1">
      <c r="H22" s="113">
        <v>1</v>
      </c>
      <c r="I22" s="114" t="s">
        <v>217</v>
      </c>
      <c r="J22" s="115" t="s">
        <v>217</v>
      </c>
      <c r="K22" s="115" t="s">
        <v>217</v>
      </c>
      <c r="L22" s="115" t="s">
        <v>216</v>
      </c>
      <c r="M22" s="115" t="s">
        <v>216</v>
      </c>
      <c r="N22" s="115" t="s">
        <v>216</v>
      </c>
      <c r="O22" s="115" t="s">
        <v>217</v>
      </c>
      <c r="P22" s="116" t="s">
        <v>216</v>
      </c>
      <c r="BU22" s="126"/>
    </row>
    <row r="23" spans="5:73" ht="10.8" customHeight="1" thickBot="1">
      <c r="I23" s="127">
        <f t="shared" ref="I23:P23" si="28">IF(I21+I22=1,1,0)</f>
        <v>1</v>
      </c>
      <c r="J23" s="127">
        <f t="shared" si="28"/>
        <v>0</v>
      </c>
      <c r="K23" s="127">
        <f t="shared" si="28"/>
        <v>1</v>
      </c>
      <c r="L23" s="128">
        <f t="shared" si="28"/>
        <v>0</v>
      </c>
      <c r="M23" s="127">
        <f t="shared" si="28"/>
        <v>0</v>
      </c>
      <c r="N23" s="127">
        <f t="shared" si="28"/>
        <v>1</v>
      </c>
      <c r="O23" s="127">
        <f t="shared" si="28"/>
        <v>1</v>
      </c>
      <c r="P23" s="129">
        <f t="shared" si="28"/>
        <v>1</v>
      </c>
      <c r="BU23" s="126"/>
    </row>
    <row r="24" spans="5:73" ht="10.8" customHeight="1" thickBot="1">
      <c r="I24" s="113">
        <v>1</v>
      </c>
      <c r="J24" s="114" t="s">
        <v>217</v>
      </c>
      <c r="K24" s="115" t="s">
        <v>217</v>
      </c>
      <c r="L24" s="115" t="s">
        <v>217</v>
      </c>
      <c r="M24" s="115" t="s">
        <v>216</v>
      </c>
      <c r="N24" s="115" t="s">
        <v>216</v>
      </c>
      <c r="O24" s="115" t="s">
        <v>216</v>
      </c>
      <c r="P24" s="115" t="s">
        <v>217</v>
      </c>
      <c r="Q24" s="116" t="s">
        <v>216</v>
      </c>
      <c r="BU24" s="126"/>
    </row>
    <row r="25" spans="5:73" ht="10.8" customHeight="1" thickBot="1">
      <c r="J25" s="127">
        <f t="shared" ref="J25:Q25" si="29">IF(J23+J24=1,1,0)</f>
        <v>0</v>
      </c>
      <c r="K25" s="127">
        <f t="shared" si="29"/>
        <v>1</v>
      </c>
      <c r="L25" s="127">
        <f t="shared" si="29"/>
        <v>0</v>
      </c>
      <c r="M25" s="128">
        <f t="shared" si="29"/>
        <v>1</v>
      </c>
      <c r="N25" s="127">
        <f t="shared" si="29"/>
        <v>0</v>
      </c>
      <c r="O25" s="127">
        <f t="shared" si="29"/>
        <v>0</v>
      </c>
      <c r="P25" s="127">
        <f t="shared" si="29"/>
        <v>1</v>
      </c>
      <c r="Q25" s="129">
        <f t="shared" si="29"/>
        <v>1</v>
      </c>
      <c r="R25" s="121">
        <v>1</v>
      </c>
      <c r="S25" s="121">
        <v>1</v>
      </c>
      <c r="BU25" s="126"/>
    </row>
    <row r="26" spans="5:73" ht="10.8" customHeight="1" thickBot="1">
      <c r="K26" s="113">
        <v>1</v>
      </c>
      <c r="L26" s="114" t="s">
        <v>217</v>
      </c>
      <c r="M26" s="115" t="s">
        <v>217</v>
      </c>
      <c r="N26" s="115" t="s">
        <v>217</v>
      </c>
      <c r="O26" s="115" t="s">
        <v>216</v>
      </c>
      <c r="P26" s="115" t="s">
        <v>216</v>
      </c>
      <c r="Q26" s="115" t="s">
        <v>216</v>
      </c>
      <c r="R26" s="115" t="s">
        <v>217</v>
      </c>
      <c r="S26" s="116" t="s">
        <v>216</v>
      </c>
      <c r="BU26" s="126"/>
    </row>
    <row r="27" spans="5:73" ht="10.8" customHeight="1" thickBot="1">
      <c r="L27" s="127">
        <f t="shared" ref="L27:S27" si="30">IF(L25+L26=1,1,0)</f>
        <v>0</v>
      </c>
      <c r="M27" s="127">
        <f t="shared" si="30"/>
        <v>1</v>
      </c>
      <c r="N27" s="127">
        <f t="shared" si="30"/>
        <v>0</v>
      </c>
      <c r="O27" s="128">
        <f t="shared" si="30"/>
        <v>1</v>
      </c>
      <c r="P27" s="127">
        <f t="shared" si="30"/>
        <v>0</v>
      </c>
      <c r="Q27" s="127">
        <f t="shared" si="30"/>
        <v>0</v>
      </c>
      <c r="R27" s="127">
        <f t="shared" si="30"/>
        <v>1</v>
      </c>
      <c r="S27" s="129">
        <f t="shared" si="30"/>
        <v>0</v>
      </c>
      <c r="T27" s="121">
        <v>1</v>
      </c>
      <c r="U27" s="121">
        <v>1</v>
      </c>
      <c r="BU27" s="126"/>
    </row>
    <row r="28" spans="5:73" ht="10.8" customHeight="1" thickBot="1">
      <c r="M28" s="113">
        <v>1</v>
      </c>
      <c r="N28" s="114" t="s">
        <v>217</v>
      </c>
      <c r="O28" s="115" t="s">
        <v>217</v>
      </c>
      <c r="P28" s="115" t="s">
        <v>217</v>
      </c>
      <c r="Q28" s="115" t="s">
        <v>216</v>
      </c>
      <c r="R28" s="115" t="s">
        <v>216</v>
      </c>
      <c r="S28" s="115" t="s">
        <v>216</v>
      </c>
      <c r="T28" s="115" t="s">
        <v>217</v>
      </c>
      <c r="U28" s="116" t="s">
        <v>216</v>
      </c>
      <c r="BU28" s="126"/>
    </row>
    <row r="29" spans="5:73" ht="10.8" customHeight="1" thickBot="1">
      <c r="N29" s="127">
        <f t="shared" ref="N29:U29" si="31">IF(N27+N28=1,1,0)</f>
        <v>0</v>
      </c>
      <c r="O29" s="127">
        <f t="shared" si="31"/>
        <v>1</v>
      </c>
      <c r="P29" s="127">
        <f t="shared" si="31"/>
        <v>0</v>
      </c>
      <c r="Q29" s="128">
        <f t="shared" si="31"/>
        <v>1</v>
      </c>
      <c r="R29" s="127">
        <f t="shared" si="31"/>
        <v>0</v>
      </c>
      <c r="S29" s="127">
        <f t="shared" si="31"/>
        <v>1</v>
      </c>
      <c r="T29" s="127">
        <f t="shared" si="31"/>
        <v>1</v>
      </c>
      <c r="U29" s="129">
        <f t="shared" si="31"/>
        <v>0</v>
      </c>
      <c r="BU29" s="126"/>
    </row>
    <row r="30" spans="5:73" ht="10.8" customHeight="1" thickBot="1">
      <c r="O30" s="113">
        <v>1</v>
      </c>
      <c r="P30" s="114" t="s">
        <v>217</v>
      </c>
      <c r="Q30" s="115" t="s">
        <v>217</v>
      </c>
      <c r="R30" s="115" t="s">
        <v>217</v>
      </c>
      <c r="S30" s="115" t="s">
        <v>216</v>
      </c>
      <c r="T30" s="115" t="s">
        <v>216</v>
      </c>
      <c r="U30" s="115" t="s">
        <v>216</v>
      </c>
      <c r="V30" s="115" t="s">
        <v>217</v>
      </c>
      <c r="W30" s="116" t="s">
        <v>216</v>
      </c>
      <c r="BU30" s="126"/>
    </row>
    <row r="31" spans="5:73" ht="10.8" customHeight="1" thickBot="1">
      <c r="P31" s="127">
        <f t="shared" ref="P31:W31" si="32">IF(P29+P30=1,1,0)</f>
        <v>0</v>
      </c>
      <c r="Q31" s="127">
        <f t="shared" si="32"/>
        <v>1</v>
      </c>
      <c r="R31" s="127">
        <f t="shared" si="32"/>
        <v>0</v>
      </c>
      <c r="S31" s="128">
        <f t="shared" si="32"/>
        <v>0</v>
      </c>
      <c r="T31" s="127">
        <f t="shared" si="32"/>
        <v>0</v>
      </c>
      <c r="U31" s="127">
        <f t="shared" si="32"/>
        <v>1</v>
      </c>
      <c r="V31" s="127">
        <f t="shared" si="32"/>
        <v>0</v>
      </c>
      <c r="W31" s="129">
        <f t="shared" si="32"/>
        <v>1</v>
      </c>
      <c r="BU31" s="126"/>
    </row>
    <row r="32" spans="5:73" ht="10.8" customHeight="1" thickBot="1">
      <c r="Q32" s="113">
        <v>1</v>
      </c>
      <c r="R32" s="114" t="s">
        <v>217</v>
      </c>
      <c r="S32" s="115" t="s">
        <v>217</v>
      </c>
      <c r="T32" s="115" t="s">
        <v>217</v>
      </c>
      <c r="U32" s="115" t="s">
        <v>216</v>
      </c>
      <c r="V32" s="115" t="s">
        <v>216</v>
      </c>
      <c r="W32" s="115" t="s">
        <v>216</v>
      </c>
      <c r="X32" s="115" t="s">
        <v>217</v>
      </c>
      <c r="Y32" s="116" t="s">
        <v>216</v>
      </c>
      <c r="BU32" s="126"/>
    </row>
    <row r="33" spans="18:73" ht="10.8" customHeight="1" thickBot="1">
      <c r="R33" s="127">
        <f t="shared" ref="R33:Y33" si="33">IF(R31+R32=1,1,0)</f>
        <v>0</v>
      </c>
      <c r="S33" s="127">
        <f t="shared" si="33"/>
        <v>0</v>
      </c>
      <c r="T33" s="127">
        <f t="shared" si="33"/>
        <v>0</v>
      </c>
      <c r="U33" s="128">
        <f t="shared" si="33"/>
        <v>0</v>
      </c>
      <c r="V33" s="127">
        <f t="shared" si="33"/>
        <v>1</v>
      </c>
      <c r="W33" s="127">
        <f t="shared" si="33"/>
        <v>0</v>
      </c>
      <c r="X33" s="127">
        <f t="shared" si="33"/>
        <v>0</v>
      </c>
      <c r="Y33" s="129">
        <f t="shared" si="33"/>
        <v>1</v>
      </c>
      <c r="BU33" s="126"/>
    </row>
    <row r="34" spans="18:73" ht="10.8" customHeight="1" thickBot="1">
      <c r="V34" s="113">
        <v>1</v>
      </c>
      <c r="W34" s="114" t="s">
        <v>217</v>
      </c>
      <c r="X34" s="115" t="s">
        <v>217</v>
      </c>
      <c r="Y34" s="115" t="s">
        <v>217</v>
      </c>
      <c r="Z34" s="115" t="s">
        <v>216</v>
      </c>
      <c r="AA34" s="115" t="s">
        <v>216</v>
      </c>
      <c r="AB34" s="115" t="s">
        <v>216</v>
      </c>
      <c r="AC34" s="115" t="s">
        <v>217</v>
      </c>
      <c r="AD34" s="116" t="s">
        <v>216</v>
      </c>
      <c r="BU34" s="126"/>
    </row>
    <row r="35" spans="18:73" ht="10.8" customHeight="1" thickBot="1">
      <c r="W35" s="127">
        <f t="shared" ref="W35:AD35" si="34">IF(W33+W34=1,1,0)</f>
        <v>0</v>
      </c>
      <c r="X35" s="127">
        <f t="shared" si="34"/>
        <v>0</v>
      </c>
      <c r="Y35" s="127">
        <f t="shared" si="34"/>
        <v>1</v>
      </c>
      <c r="Z35" s="128">
        <f t="shared" si="34"/>
        <v>1</v>
      </c>
      <c r="AA35" s="127">
        <f t="shared" si="34"/>
        <v>1</v>
      </c>
      <c r="AB35" s="127">
        <f t="shared" si="34"/>
        <v>1</v>
      </c>
      <c r="AC35" s="127">
        <f t="shared" si="34"/>
        <v>0</v>
      </c>
      <c r="AD35" s="129">
        <f t="shared" si="34"/>
        <v>1</v>
      </c>
      <c r="BU35" s="126"/>
    </row>
    <row r="36" spans="18:73" ht="10.8" customHeight="1" thickBot="1">
      <c r="Y36" s="113">
        <v>1</v>
      </c>
      <c r="Z36" s="114" t="s">
        <v>217</v>
      </c>
      <c r="AA36" s="115" t="s">
        <v>217</v>
      </c>
      <c r="AB36" s="115" t="s">
        <v>217</v>
      </c>
      <c r="AC36" s="115" t="s">
        <v>216</v>
      </c>
      <c r="AD36" s="115" t="s">
        <v>216</v>
      </c>
      <c r="AE36" s="115" t="s">
        <v>216</v>
      </c>
      <c r="AF36" s="115" t="s">
        <v>217</v>
      </c>
      <c r="AG36" s="116" t="s">
        <v>216</v>
      </c>
      <c r="BU36" s="126"/>
    </row>
    <row r="37" spans="18:73" ht="10.8" customHeight="1" thickBot="1">
      <c r="Z37" s="127">
        <f t="shared" ref="Z37:AG37" si="35">IF(Z35+Z36=1,1,0)</f>
        <v>1</v>
      </c>
      <c r="AA37" s="127">
        <f t="shared" si="35"/>
        <v>1</v>
      </c>
      <c r="AB37" s="127">
        <f t="shared" si="35"/>
        <v>1</v>
      </c>
      <c r="AC37" s="128">
        <f t="shared" si="35"/>
        <v>1</v>
      </c>
      <c r="AD37" s="127">
        <f t="shared" si="35"/>
        <v>0</v>
      </c>
      <c r="AE37" s="127">
        <f t="shared" si="35"/>
        <v>1</v>
      </c>
      <c r="AF37" s="127">
        <f t="shared" si="35"/>
        <v>0</v>
      </c>
      <c r="AG37" s="129">
        <f t="shared" si="35"/>
        <v>1</v>
      </c>
      <c r="BU37" s="126"/>
    </row>
    <row r="38" spans="18:73" ht="10.8" customHeight="1" thickBot="1">
      <c r="Z38" s="113">
        <v>1</v>
      </c>
      <c r="AA38" s="114" t="s">
        <v>217</v>
      </c>
      <c r="AB38" s="115" t="s">
        <v>217</v>
      </c>
      <c r="AC38" s="115" t="s">
        <v>217</v>
      </c>
      <c r="AD38" s="115" t="s">
        <v>216</v>
      </c>
      <c r="AE38" s="115" t="s">
        <v>216</v>
      </c>
      <c r="AF38" s="115" t="s">
        <v>216</v>
      </c>
      <c r="AG38" s="115" t="s">
        <v>217</v>
      </c>
      <c r="AH38" s="116" t="s">
        <v>216</v>
      </c>
      <c r="BU38" s="126"/>
    </row>
    <row r="39" spans="18:73" ht="10.8" customHeight="1" thickBot="1">
      <c r="AA39" s="127">
        <f t="shared" ref="AA39:AH39" si="36">IF(AA37+AA38=1,1,0)</f>
        <v>1</v>
      </c>
      <c r="AB39" s="127">
        <f t="shared" si="36"/>
        <v>1</v>
      </c>
      <c r="AC39" s="127">
        <f t="shared" si="36"/>
        <v>1</v>
      </c>
      <c r="AD39" s="128">
        <f t="shared" si="36"/>
        <v>1</v>
      </c>
      <c r="AE39" s="127">
        <f t="shared" si="36"/>
        <v>0</v>
      </c>
      <c r="AF39" s="127">
        <f t="shared" si="36"/>
        <v>1</v>
      </c>
      <c r="AG39" s="127">
        <f t="shared" si="36"/>
        <v>1</v>
      </c>
      <c r="AH39" s="129">
        <f t="shared" si="36"/>
        <v>1</v>
      </c>
      <c r="BU39" s="126"/>
    </row>
    <row r="40" spans="18:73" ht="10.8" customHeight="1" thickBot="1">
      <c r="AA40" s="113">
        <v>1</v>
      </c>
      <c r="AB40" s="114" t="s">
        <v>217</v>
      </c>
      <c r="AC40" s="115" t="s">
        <v>217</v>
      </c>
      <c r="AD40" s="115" t="s">
        <v>217</v>
      </c>
      <c r="AE40" s="115" t="s">
        <v>216</v>
      </c>
      <c r="AF40" s="115" t="s">
        <v>216</v>
      </c>
      <c r="AG40" s="115" t="s">
        <v>216</v>
      </c>
      <c r="AH40" s="115" t="s">
        <v>217</v>
      </c>
      <c r="AI40" s="116" t="s">
        <v>216</v>
      </c>
      <c r="BU40" s="126"/>
    </row>
    <row r="41" spans="18:73" ht="10.8" customHeight="1" thickBot="1">
      <c r="AB41" s="127">
        <f t="shared" ref="AB41:AI41" si="37">IF(AB39+AB40=1,1,0)</f>
        <v>1</v>
      </c>
      <c r="AC41" s="127">
        <f t="shared" si="37"/>
        <v>1</v>
      </c>
      <c r="AD41" s="127">
        <f t="shared" si="37"/>
        <v>1</v>
      </c>
      <c r="AE41" s="128">
        <f t="shared" si="37"/>
        <v>1</v>
      </c>
      <c r="AF41" s="127">
        <f t="shared" si="37"/>
        <v>0</v>
      </c>
      <c r="AG41" s="127">
        <f t="shared" si="37"/>
        <v>0</v>
      </c>
      <c r="AH41" s="127">
        <f t="shared" si="37"/>
        <v>1</v>
      </c>
      <c r="AI41" s="129">
        <f t="shared" si="37"/>
        <v>1</v>
      </c>
      <c r="BU41" s="126"/>
    </row>
    <row r="42" spans="18:73" ht="10.8" customHeight="1" thickBot="1">
      <c r="AB42" s="113">
        <v>1</v>
      </c>
      <c r="AC42" s="114" t="s">
        <v>217</v>
      </c>
      <c r="AD42" s="115" t="s">
        <v>217</v>
      </c>
      <c r="AE42" s="115" t="s">
        <v>217</v>
      </c>
      <c r="AF42" s="115" t="s">
        <v>216</v>
      </c>
      <c r="AG42" s="115" t="s">
        <v>216</v>
      </c>
      <c r="AH42" s="115" t="s">
        <v>216</v>
      </c>
      <c r="AI42" s="115" t="s">
        <v>217</v>
      </c>
      <c r="AJ42" s="116" t="s">
        <v>216</v>
      </c>
      <c r="BU42" s="126"/>
    </row>
    <row r="43" spans="18:73" ht="10.8" customHeight="1" thickBot="1">
      <c r="AC43" s="127">
        <f t="shared" ref="AC43:AJ43" si="38">IF(AC41+AC42=1,1,0)</f>
        <v>1</v>
      </c>
      <c r="AD43" s="127">
        <f t="shared" si="38"/>
        <v>1</v>
      </c>
      <c r="AE43" s="127">
        <f t="shared" si="38"/>
        <v>1</v>
      </c>
      <c r="AF43" s="128">
        <f t="shared" si="38"/>
        <v>1</v>
      </c>
      <c r="AG43" s="127">
        <f t="shared" si="38"/>
        <v>1</v>
      </c>
      <c r="AH43" s="127">
        <f t="shared" si="38"/>
        <v>0</v>
      </c>
      <c r="AI43" s="127">
        <f t="shared" si="38"/>
        <v>1</v>
      </c>
      <c r="AJ43" s="129">
        <f t="shared" si="38"/>
        <v>1</v>
      </c>
      <c r="BU43" s="126"/>
    </row>
    <row r="44" spans="18:73" ht="10.8" customHeight="1" thickBot="1">
      <c r="AC44" s="113">
        <v>1</v>
      </c>
      <c r="AD44" s="114" t="s">
        <v>217</v>
      </c>
      <c r="AE44" s="115" t="s">
        <v>217</v>
      </c>
      <c r="AF44" s="115" t="s">
        <v>217</v>
      </c>
      <c r="AG44" s="115" t="s">
        <v>216</v>
      </c>
      <c r="AH44" s="115" t="s">
        <v>216</v>
      </c>
      <c r="AI44" s="115" t="s">
        <v>216</v>
      </c>
      <c r="AJ44" s="115" t="s">
        <v>217</v>
      </c>
      <c r="AK44" s="116" t="s">
        <v>216</v>
      </c>
      <c r="BU44" s="126"/>
    </row>
    <row r="45" spans="18:73" ht="10.8" customHeight="1" thickBot="1">
      <c r="AD45" s="127">
        <f t="shared" ref="AD45:AK45" si="39">IF(AD43+AD44=1,1,0)</f>
        <v>1</v>
      </c>
      <c r="AE45" s="127">
        <f t="shared" si="39"/>
        <v>1</v>
      </c>
      <c r="AF45" s="127">
        <f t="shared" si="39"/>
        <v>1</v>
      </c>
      <c r="AG45" s="128">
        <f t="shared" si="39"/>
        <v>0</v>
      </c>
      <c r="AH45" s="127">
        <f t="shared" si="39"/>
        <v>1</v>
      </c>
      <c r="AI45" s="127">
        <f t="shared" si="39"/>
        <v>0</v>
      </c>
      <c r="AJ45" s="127">
        <f t="shared" si="39"/>
        <v>1</v>
      </c>
      <c r="AK45" s="129">
        <f t="shared" si="39"/>
        <v>1</v>
      </c>
      <c r="BU45" s="126"/>
    </row>
    <row r="46" spans="18:73" ht="10.8" customHeight="1" thickBot="1">
      <c r="AD46" s="113">
        <v>1</v>
      </c>
      <c r="AE46" s="114" t="s">
        <v>217</v>
      </c>
      <c r="AF46" s="115" t="s">
        <v>217</v>
      </c>
      <c r="AG46" s="115" t="s">
        <v>217</v>
      </c>
      <c r="AH46" s="115" t="s">
        <v>216</v>
      </c>
      <c r="AI46" s="115" t="s">
        <v>216</v>
      </c>
      <c r="AJ46" s="115" t="s">
        <v>216</v>
      </c>
      <c r="AK46" s="115" t="s">
        <v>217</v>
      </c>
      <c r="AL46" s="116" t="s">
        <v>216</v>
      </c>
      <c r="BU46" s="126"/>
    </row>
    <row r="47" spans="18:73" ht="10.8" customHeight="1" thickBot="1">
      <c r="AE47" s="127">
        <f t="shared" ref="AE47:AL47" si="40">IF(AE45+AE46=1,1,0)</f>
        <v>1</v>
      </c>
      <c r="AF47" s="127">
        <f t="shared" si="40"/>
        <v>1</v>
      </c>
      <c r="AG47" s="127">
        <f t="shared" si="40"/>
        <v>0</v>
      </c>
      <c r="AH47" s="128">
        <f t="shared" si="40"/>
        <v>0</v>
      </c>
      <c r="AI47" s="127">
        <f t="shared" si="40"/>
        <v>1</v>
      </c>
      <c r="AJ47" s="127">
        <f t="shared" si="40"/>
        <v>0</v>
      </c>
      <c r="AK47" s="127">
        <f t="shared" si="40"/>
        <v>1</v>
      </c>
      <c r="AL47" s="129">
        <f t="shared" si="40"/>
        <v>1</v>
      </c>
      <c r="BU47" s="126"/>
    </row>
    <row r="48" spans="18:73" ht="10.8" customHeight="1" thickBot="1">
      <c r="AE48" s="113">
        <v>1</v>
      </c>
      <c r="AF48" s="114" t="s">
        <v>217</v>
      </c>
      <c r="AG48" s="115" t="s">
        <v>217</v>
      </c>
      <c r="AH48" s="115" t="s">
        <v>217</v>
      </c>
      <c r="AI48" s="115" t="s">
        <v>216</v>
      </c>
      <c r="AJ48" s="115" t="s">
        <v>216</v>
      </c>
      <c r="AK48" s="115" t="s">
        <v>216</v>
      </c>
      <c r="AL48" s="115" t="s">
        <v>217</v>
      </c>
      <c r="AM48" s="116" t="s">
        <v>216</v>
      </c>
      <c r="BU48" s="126"/>
    </row>
    <row r="49" spans="32:73" ht="10.8" customHeight="1" thickBot="1">
      <c r="AF49" s="127">
        <f t="shared" ref="AF49:AM49" si="41">IF(AF47+AF48=1,1,0)</f>
        <v>1</v>
      </c>
      <c r="AG49" s="127">
        <f t="shared" si="41"/>
        <v>0</v>
      </c>
      <c r="AH49" s="127">
        <f t="shared" si="41"/>
        <v>0</v>
      </c>
      <c r="AI49" s="128">
        <f t="shared" si="41"/>
        <v>0</v>
      </c>
      <c r="AJ49" s="127">
        <f t="shared" si="41"/>
        <v>1</v>
      </c>
      <c r="AK49" s="127">
        <f t="shared" si="41"/>
        <v>0</v>
      </c>
      <c r="AL49" s="127">
        <f t="shared" si="41"/>
        <v>1</v>
      </c>
      <c r="AM49" s="129">
        <f t="shared" si="41"/>
        <v>1</v>
      </c>
      <c r="BU49" s="126"/>
    </row>
    <row r="50" spans="32:73" ht="10.8" customHeight="1" thickBot="1">
      <c r="AF50" s="113">
        <v>1</v>
      </c>
      <c r="AG50" s="114" t="s">
        <v>217</v>
      </c>
      <c r="AH50" s="115" t="s">
        <v>217</v>
      </c>
      <c r="AI50" s="115" t="s">
        <v>217</v>
      </c>
      <c r="AJ50" s="115" t="s">
        <v>216</v>
      </c>
      <c r="AK50" s="115" t="s">
        <v>216</v>
      </c>
      <c r="AL50" s="115" t="s">
        <v>216</v>
      </c>
      <c r="AM50" s="115" t="s">
        <v>217</v>
      </c>
      <c r="AN50" s="116" t="s">
        <v>216</v>
      </c>
      <c r="BU50" s="126"/>
    </row>
    <row r="51" spans="32:73" ht="10.8" customHeight="1" thickBot="1">
      <c r="AG51" s="127">
        <f t="shared" ref="AG51:AN51" si="42">IF(AG49+AG50=1,1,0)</f>
        <v>0</v>
      </c>
      <c r="AH51" s="127">
        <f t="shared" si="42"/>
        <v>0</v>
      </c>
      <c r="AI51" s="127">
        <f t="shared" si="42"/>
        <v>0</v>
      </c>
      <c r="AJ51" s="128">
        <f t="shared" si="42"/>
        <v>0</v>
      </c>
      <c r="AK51" s="127">
        <f t="shared" si="42"/>
        <v>1</v>
      </c>
      <c r="AL51" s="127">
        <f t="shared" si="42"/>
        <v>0</v>
      </c>
      <c r="AM51" s="127">
        <f t="shared" si="42"/>
        <v>1</v>
      </c>
      <c r="AN51" s="129">
        <f t="shared" si="42"/>
        <v>1</v>
      </c>
      <c r="BU51" s="126"/>
    </row>
    <row r="52" spans="32:73" ht="10.8" customHeight="1" thickBot="1">
      <c r="AK52" s="113">
        <v>1</v>
      </c>
      <c r="AL52" s="114" t="s">
        <v>217</v>
      </c>
      <c r="AM52" s="115" t="s">
        <v>217</v>
      </c>
      <c r="AN52" s="115" t="s">
        <v>217</v>
      </c>
      <c r="AO52" s="115" t="s">
        <v>216</v>
      </c>
      <c r="AP52" s="115" t="s">
        <v>216</v>
      </c>
      <c r="AQ52" s="115" t="s">
        <v>216</v>
      </c>
      <c r="AR52" s="115" t="s">
        <v>217</v>
      </c>
      <c r="AS52" s="116" t="s">
        <v>216</v>
      </c>
      <c r="BU52" s="126"/>
    </row>
    <row r="53" spans="32:73" ht="10.8" customHeight="1" thickBot="1">
      <c r="AL53" s="127">
        <f t="shared" ref="AL53:AS53" si="43">IF(AL51+AL52=1,1,0)</f>
        <v>0</v>
      </c>
      <c r="AM53" s="127">
        <f t="shared" si="43"/>
        <v>1</v>
      </c>
      <c r="AN53" s="127">
        <f t="shared" si="43"/>
        <v>1</v>
      </c>
      <c r="AO53" s="128">
        <f t="shared" si="43"/>
        <v>1</v>
      </c>
      <c r="AP53" s="127">
        <f t="shared" si="43"/>
        <v>1</v>
      </c>
      <c r="AQ53" s="127">
        <f t="shared" si="43"/>
        <v>1</v>
      </c>
      <c r="AR53" s="127">
        <f t="shared" si="43"/>
        <v>0</v>
      </c>
      <c r="AS53" s="129">
        <f t="shared" si="43"/>
        <v>1</v>
      </c>
      <c r="BU53" s="126"/>
    </row>
    <row r="54" spans="32:73" ht="10.8" customHeight="1" thickBot="1">
      <c r="AM54" s="113">
        <v>1</v>
      </c>
      <c r="AN54" s="114" t="s">
        <v>217</v>
      </c>
      <c r="AO54" s="115" t="s">
        <v>217</v>
      </c>
      <c r="AP54" s="115" t="s">
        <v>217</v>
      </c>
      <c r="AQ54" s="115" t="s">
        <v>216</v>
      </c>
      <c r="AR54" s="115" t="s">
        <v>216</v>
      </c>
      <c r="AS54" s="115" t="s">
        <v>216</v>
      </c>
      <c r="AT54" s="115" t="s">
        <v>217</v>
      </c>
      <c r="AU54" s="116" t="s">
        <v>216</v>
      </c>
      <c r="BU54" s="126"/>
    </row>
    <row r="55" spans="32:73" ht="10.8" customHeight="1" thickBot="1">
      <c r="AN55" s="127">
        <f t="shared" ref="AN55:AU55" si="44">IF(AN53+AN54=1,1,0)</f>
        <v>1</v>
      </c>
      <c r="AO55" s="127">
        <f t="shared" si="44"/>
        <v>1</v>
      </c>
      <c r="AP55" s="127">
        <f t="shared" si="44"/>
        <v>1</v>
      </c>
      <c r="AQ55" s="128">
        <f t="shared" si="44"/>
        <v>0</v>
      </c>
      <c r="AR55" s="127">
        <f t="shared" si="44"/>
        <v>1</v>
      </c>
      <c r="AS55" s="127">
        <f t="shared" si="44"/>
        <v>0</v>
      </c>
      <c r="AT55" s="127">
        <f t="shared" si="44"/>
        <v>0</v>
      </c>
      <c r="AU55" s="129">
        <f t="shared" si="44"/>
        <v>1</v>
      </c>
      <c r="BU55" s="126"/>
    </row>
    <row r="56" spans="32:73" ht="10.8" customHeight="1" thickBot="1">
      <c r="AN56" s="113">
        <v>1</v>
      </c>
      <c r="AO56" s="114" t="s">
        <v>217</v>
      </c>
      <c r="AP56" s="115" t="s">
        <v>217</v>
      </c>
      <c r="AQ56" s="115" t="s">
        <v>217</v>
      </c>
      <c r="AR56" s="115" t="s">
        <v>216</v>
      </c>
      <c r="AS56" s="115" t="s">
        <v>216</v>
      </c>
      <c r="AT56" s="115" t="s">
        <v>216</v>
      </c>
      <c r="AU56" s="115" t="s">
        <v>217</v>
      </c>
      <c r="AV56" s="116" t="s">
        <v>216</v>
      </c>
      <c r="BU56" s="126"/>
    </row>
    <row r="57" spans="32:73" ht="10.8" customHeight="1" thickBot="1">
      <c r="AO57" s="127">
        <f t="shared" ref="AO57:AV57" si="45">IF(AO55+AO56=1,1,0)</f>
        <v>1</v>
      </c>
      <c r="AP57" s="127">
        <f t="shared" si="45"/>
        <v>1</v>
      </c>
      <c r="AQ57" s="127">
        <f t="shared" si="45"/>
        <v>0</v>
      </c>
      <c r="AR57" s="128">
        <f t="shared" si="45"/>
        <v>0</v>
      </c>
      <c r="AS57" s="127">
        <f t="shared" si="45"/>
        <v>1</v>
      </c>
      <c r="AT57" s="127">
        <f t="shared" si="45"/>
        <v>1</v>
      </c>
      <c r="AU57" s="127">
        <f t="shared" si="45"/>
        <v>1</v>
      </c>
      <c r="AV57" s="129">
        <f t="shared" si="45"/>
        <v>1</v>
      </c>
      <c r="BU57" s="126"/>
    </row>
    <row r="58" spans="32:73" ht="10.8" customHeight="1" thickBot="1">
      <c r="AO58" s="113">
        <v>1</v>
      </c>
      <c r="AP58" s="114" t="s">
        <v>217</v>
      </c>
      <c r="AQ58" s="115" t="s">
        <v>217</v>
      </c>
      <c r="AR58" s="115" t="s">
        <v>217</v>
      </c>
      <c r="AS58" s="115" t="s">
        <v>216</v>
      </c>
      <c r="AT58" s="115" t="s">
        <v>216</v>
      </c>
      <c r="AU58" s="115" t="s">
        <v>216</v>
      </c>
      <c r="AV58" s="115" t="s">
        <v>217</v>
      </c>
      <c r="AW58" s="116" t="s">
        <v>216</v>
      </c>
      <c r="BU58" s="126"/>
    </row>
    <row r="59" spans="32:73" ht="10.8" customHeight="1" thickBot="1">
      <c r="AP59" s="127">
        <f t="shared" ref="AP59:AW59" si="46">IF(AP57+AP58=1,1,0)</f>
        <v>1</v>
      </c>
      <c r="AQ59" s="127">
        <f t="shared" si="46"/>
        <v>0</v>
      </c>
      <c r="AR59" s="127">
        <f t="shared" si="46"/>
        <v>0</v>
      </c>
      <c r="AS59" s="128">
        <f t="shared" si="46"/>
        <v>0</v>
      </c>
      <c r="AT59" s="127">
        <f t="shared" si="46"/>
        <v>0</v>
      </c>
      <c r="AU59" s="127">
        <f t="shared" si="46"/>
        <v>0</v>
      </c>
      <c r="AV59" s="127">
        <f t="shared" si="46"/>
        <v>1</v>
      </c>
      <c r="AW59" s="129">
        <f t="shared" si="46"/>
        <v>1</v>
      </c>
      <c r="BU59" s="126"/>
    </row>
    <row r="60" spans="32:73" ht="10.8" customHeight="1" thickBot="1">
      <c r="AP60" s="113">
        <v>1</v>
      </c>
      <c r="AQ60" s="114" t="s">
        <v>217</v>
      </c>
      <c r="AR60" s="115" t="s">
        <v>217</v>
      </c>
      <c r="AS60" s="115" t="s">
        <v>217</v>
      </c>
      <c r="AT60" s="115" t="s">
        <v>216</v>
      </c>
      <c r="AU60" s="115" t="s">
        <v>216</v>
      </c>
      <c r="AV60" s="115" t="s">
        <v>216</v>
      </c>
      <c r="AW60" s="115" t="s">
        <v>217</v>
      </c>
      <c r="AX60" s="116" t="s">
        <v>216</v>
      </c>
      <c r="BU60" s="126"/>
    </row>
    <row r="61" spans="32:73" ht="10.8" customHeight="1" thickBot="1">
      <c r="AQ61" s="127">
        <f t="shared" ref="AQ61:AX61" si="47">IF(AQ59+AQ60=1,1,0)</f>
        <v>0</v>
      </c>
      <c r="AR61" s="127">
        <f t="shared" si="47"/>
        <v>0</v>
      </c>
      <c r="AS61" s="127">
        <f t="shared" si="47"/>
        <v>0</v>
      </c>
      <c r="AT61" s="128">
        <f t="shared" si="47"/>
        <v>1</v>
      </c>
      <c r="AU61" s="127">
        <f t="shared" si="47"/>
        <v>1</v>
      </c>
      <c r="AV61" s="127">
        <f t="shared" si="47"/>
        <v>0</v>
      </c>
      <c r="AW61" s="127">
        <f t="shared" si="47"/>
        <v>1</v>
      </c>
      <c r="AX61" s="129">
        <f t="shared" si="47"/>
        <v>1</v>
      </c>
      <c r="BU61" s="126"/>
    </row>
    <row r="62" spans="32:73" ht="10.8" customHeight="1" thickBot="1">
      <c r="AT62" s="113">
        <v>1</v>
      </c>
      <c r="AU62" s="114" t="s">
        <v>217</v>
      </c>
      <c r="AV62" s="115" t="s">
        <v>217</v>
      </c>
      <c r="AW62" s="115" t="s">
        <v>217</v>
      </c>
      <c r="AX62" s="115" t="s">
        <v>216</v>
      </c>
      <c r="AY62" s="115" t="s">
        <v>216</v>
      </c>
      <c r="AZ62" s="115" t="s">
        <v>216</v>
      </c>
      <c r="BA62" s="115" t="s">
        <v>217</v>
      </c>
      <c r="BB62" s="116" t="s">
        <v>216</v>
      </c>
      <c r="BU62" s="126"/>
    </row>
    <row r="63" spans="32:73" ht="10.8" customHeight="1" thickBot="1">
      <c r="AU63" s="127">
        <f t="shared" ref="AU63:BB63" si="48">IF(AU61+AU62=1,1,0)</f>
        <v>1</v>
      </c>
      <c r="AV63" s="127">
        <f t="shared" si="48"/>
        <v>0</v>
      </c>
      <c r="AW63" s="127">
        <f t="shared" si="48"/>
        <v>1</v>
      </c>
      <c r="AX63" s="128">
        <f t="shared" si="48"/>
        <v>0</v>
      </c>
      <c r="AY63" s="127">
        <f t="shared" si="48"/>
        <v>1</v>
      </c>
      <c r="AZ63" s="127">
        <f t="shared" si="48"/>
        <v>1</v>
      </c>
      <c r="BA63" s="127">
        <f t="shared" si="48"/>
        <v>0</v>
      </c>
      <c r="BB63" s="129">
        <f t="shared" si="48"/>
        <v>1</v>
      </c>
      <c r="BU63" s="126"/>
    </row>
    <row r="64" spans="32:73" ht="10.8" customHeight="1" thickBot="1">
      <c r="AU64" s="113">
        <v>1</v>
      </c>
      <c r="AV64" s="114" t="s">
        <v>217</v>
      </c>
      <c r="AW64" s="115" t="s">
        <v>217</v>
      </c>
      <c r="AX64" s="115" t="s">
        <v>217</v>
      </c>
      <c r="AY64" s="115" t="s">
        <v>216</v>
      </c>
      <c r="AZ64" s="115" t="s">
        <v>216</v>
      </c>
      <c r="BA64" s="115" t="s">
        <v>216</v>
      </c>
      <c r="BB64" s="115" t="s">
        <v>217</v>
      </c>
      <c r="BC64" s="116" t="s">
        <v>216</v>
      </c>
      <c r="BU64" s="126"/>
    </row>
    <row r="65" spans="48:80" ht="10.8" customHeight="1" thickBot="1">
      <c r="AV65" s="127">
        <f t="shared" ref="AV65:BC65" si="49">IF(AV63+AV64=1,1,0)</f>
        <v>0</v>
      </c>
      <c r="AW65" s="127">
        <f t="shared" si="49"/>
        <v>1</v>
      </c>
      <c r="AX65" s="127">
        <f t="shared" si="49"/>
        <v>0</v>
      </c>
      <c r="AY65" s="128">
        <f t="shared" si="49"/>
        <v>0</v>
      </c>
      <c r="AZ65" s="127">
        <f t="shared" si="49"/>
        <v>0</v>
      </c>
      <c r="BA65" s="127">
        <f t="shared" si="49"/>
        <v>1</v>
      </c>
      <c r="BB65" s="127">
        <f t="shared" si="49"/>
        <v>1</v>
      </c>
      <c r="BC65" s="129">
        <f t="shared" si="49"/>
        <v>1</v>
      </c>
      <c r="BU65" s="126"/>
    </row>
    <row r="66" spans="48:80" ht="10.8" customHeight="1" thickBot="1">
      <c r="AW66" s="113">
        <v>1</v>
      </c>
      <c r="AX66" s="114" t="s">
        <v>217</v>
      </c>
      <c r="AY66" s="115" t="s">
        <v>217</v>
      </c>
      <c r="AZ66" s="115" t="s">
        <v>217</v>
      </c>
      <c r="BA66" s="115" t="s">
        <v>216</v>
      </c>
      <c r="BB66" s="115" t="s">
        <v>216</v>
      </c>
      <c r="BC66" s="115" t="s">
        <v>216</v>
      </c>
      <c r="BD66" s="115" t="s">
        <v>217</v>
      </c>
      <c r="BE66" s="116" t="s">
        <v>216</v>
      </c>
      <c r="BU66" s="126"/>
    </row>
    <row r="67" spans="48:80" ht="10.8" customHeight="1" thickBot="1">
      <c r="AX67" s="127">
        <f t="shared" ref="AX67:BE67" si="50">IF(AX65+AX66=1,1,0)</f>
        <v>0</v>
      </c>
      <c r="AY67" s="127">
        <f t="shared" si="50"/>
        <v>0</v>
      </c>
      <c r="AZ67" s="127">
        <f t="shared" si="50"/>
        <v>0</v>
      </c>
      <c r="BA67" s="128">
        <f t="shared" si="50"/>
        <v>0</v>
      </c>
      <c r="BB67" s="127">
        <f t="shared" si="50"/>
        <v>0</v>
      </c>
      <c r="BC67" s="127">
        <f t="shared" si="50"/>
        <v>0</v>
      </c>
      <c r="BD67" s="127">
        <f t="shared" si="50"/>
        <v>0</v>
      </c>
      <c r="BE67" s="129">
        <f t="shared" si="50"/>
        <v>1</v>
      </c>
      <c r="BU67" s="126"/>
    </row>
    <row r="68" spans="48:80" ht="10.8" customHeight="1" thickBot="1">
      <c r="BE68" s="113">
        <v>1</v>
      </c>
      <c r="BF68" s="114" t="s">
        <v>217</v>
      </c>
      <c r="BG68" s="115" t="s">
        <v>217</v>
      </c>
      <c r="BH68" s="115" t="s">
        <v>217</v>
      </c>
      <c r="BI68" s="115" t="s">
        <v>216</v>
      </c>
      <c r="BJ68" s="115" t="s">
        <v>216</v>
      </c>
      <c r="BK68" s="115" t="s">
        <v>216</v>
      </c>
      <c r="BL68" s="115" t="s">
        <v>217</v>
      </c>
      <c r="BM68" s="116" t="s">
        <v>216</v>
      </c>
      <c r="BU68" s="126"/>
    </row>
    <row r="69" spans="48:80" ht="10.8" customHeight="1" thickBot="1">
      <c r="BF69" s="127">
        <f t="shared" ref="BF69:BM69" si="51">IF(BF67+BF68=1,1,0)</f>
        <v>0</v>
      </c>
      <c r="BG69" s="127">
        <f t="shared" si="51"/>
        <v>0</v>
      </c>
      <c r="BH69" s="127">
        <f t="shared" si="51"/>
        <v>0</v>
      </c>
      <c r="BI69" s="128">
        <f t="shared" si="51"/>
        <v>1</v>
      </c>
      <c r="BJ69" s="127">
        <f t="shared" si="51"/>
        <v>1</v>
      </c>
      <c r="BK69" s="127">
        <f t="shared" si="51"/>
        <v>1</v>
      </c>
      <c r="BL69" s="127">
        <f t="shared" si="51"/>
        <v>0</v>
      </c>
      <c r="BM69" s="129">
        <f t="shared" si="51"/>
        <v>1</v>
      </c>
      <c r="BU69" s="126"/>
    </row>
    <row r="70" spans="48:80" ht="10.8" customHeight="1" thickBot="1">
      <c r="BI70" s="113">
        <v>1</v>
      </c>
      <c r="BJ70" s="114" t="s">
        <v>217</v>
      </c>
      <c r="BK70" s="115" t="s">
        <v>217</v>
      </c>
      <c r="BL70" s="115" t="s">
        <v>217</v>
      </c>
      <c r="BM70" s="115" t="s">
        <v>216</v>
      </c>
      <c r="BN70" s="115" t="s">
        <v>216</v>
      </c>
      <c r="BO70" s="115" t="s">
        <v>216</v>
      </c>
      <c r="BP70" s="115" t="s">
        <v>217</v>
      </c>
      <c r="BQ70" s="116" t="s">
        <v>216</v>
      </c>
      <c r="BU70" s="126"/>
    </row>
    <row r="71" spans="48:80" ht="10.8" customHeight="1" thickBot="1">
      <c r="BJ71" s="127">
        <f t="shared" ref="BJ71:BQ71" si="52">IF(BJ69+BJ70=1,1,0)</f>
        <v>1</v>
      </c>
      <c r="BK71" s="127">
        <f t="shared" si="52"/>
        <v>1</v>
      </c>
      <c r="BL71" s="127">
        <f t="shared" si="52"/>
        <v>0</v>
      </c>
      <c r="BM71" s="128">
        <f t="shared" si="52"/>
        <v>0</v>
      </c>
      <c r="BN71" s="127">
        <f t="shared" si="52"/>
        <v>1</v>
      </c>
      <c r="BO71" s="127">
        <f t="shared" si="52"/>
        <v>1</v>
      </c>
      <c r="BP71" s="127">
        <f t="shared" si="52"/>
        <v>0</v>
      </c>
      <c r="BQ71" s="129">
        <f t="shared" si="52"/>
        <v>1</v>
      </c>
      <c r="BU71" s="126"/>
    </row>
    <row r="72" spans="48:80" ht="10.8" customHeight="1" thickBot="1">
      <c r="BJ72" s="113">
        <v>1</v>
      </c>
      <c r="BK72" s="114" t="s">
        <v>217</v>
      </c>
      <c r="BL72" s="115" t="s">
        <v>217</v>
      </c>
      <c r="BM72" s="115" t="s">
        <v>217</v>
      </c>
      <c r="BN72" s="115" t="s">
        <v>216</v>
      </c>
      <c r="BO72" s="115" t="s">
        <v>216</v>
      </c>
      <c r="BP72" s="115" t="s">
        <v>216</v>
      </c>
      <c r="BQ72" s="115" t="s">
        <v>217</v>
      </c>
      <c r="BR72" s="116" t="s">
        <v>216</v>
      </c>
      <c r="BU72" s="126"/>
    </row>
    <row r="73" spans="48:80" ht="10.8" customHeight="1" thickBot="1">
      <c r="BK73" s="127">
        <f t="shared" ref="BK73:BR73" si="53">IF(BK71+BK72=1,1,0)</f>
        <v>1</v>
      </c>
      <c r="BL73" s="127">
        <f t="shared" si="53"/>
        <v>0</v>
      </c>
      <c r="BM73" s="127">
        <f t="shared" si="53"/>
        <v>0</v>
      </c>
      <c r="BN73" s="128">
        <f t="shared" si="53"/>
        <v>0</v>
      </c>
      <c r="BO73" s="127">
        <f t="shared" si="53"/>
        <v>0</v>
      </c>
      <c r="BP73" s="127">
        <f t="shared" si="53"/>
        <v>1</v>
      </c>
      <c r="BQ73" s="127">
        <f t="shared" si="53"/>
        <v>1</v>
      </c>
      <c r="BR73" s="129">
        <f t="shared" si="53"/>
        <v>1</v>
      </c>
      <c r="BU73" s="126"/>
    </row>
    <row r="74" spans="48:80" ht="10.8" customHeight="1" thickBot="1">
      <c r="BK74" s="113">
        <v>1</v>
      </c>
      <c r="BL74" s="114" t="s">
        <v>217</v>
      </c>
      <c r="BM74" s="115" t="s">
        <v>217</v>
      </c>
      <c r="BN74" s="115" t="s">
        <v>217</v>
      </c>
      <c r="BO74" s="115" t="s">
        <v>216</v>
      </c>
      <c r="BP74" s="115" t="s">
        <v>216</v>
      </c>
      <c r="BQ74" s="115" t="s">
        <v>216</v>
      </c>
      <c r="BR74" s="115" t="s">
        <v>217</v>
      </c>
      <c r="BS74" s="116" t="s">
        <v>216</v>
      </c>
      <c r="BU74" s="126"/>
    </row>
    <row r="75" spans="48:80" ht="10.8" customHeight="1" thickBot="1">
      <c r="BL75" s="127">
        <f t="shared" ref="BL75:BS75" si="54">IF(BL73+BL74=1,1,0)</f>
        <v>0</v>
      </c>
      <c r="BM75" s="127">
        <f t="shared" si="54"/>
        <v>0</v>
      </c>
      <c r="BN75" s="127">
        <f t="shared" si="54"/>
        <v>0</v>
      </c>
      <c r="BO75" s="128">
        <f t="shared" si="54"/>
        <v>1</v>
      </c>
      <c r="BP75" s="127">
        <f t="shared" si="54"/>
        <v>0</v>
      </c>
      <c r="BQ75" s="127">
        <f t="shared" si="54"/>
        <v>0</v>
      </c>
      <c r="BR75" s="127">
        <f t="shared" si="54"/>
        <v>1</v>
      </c>
      <c r="BS75" s="129">
        <f t="shared" si="54"/>
        <v>1</v>
      </c>
      <c r="BU75" s="126"/>
    </row>
    <row r="76" spans="48:80" ht="10.8" customHeight="1" thickBot="1">
      <c r="BO76" s="113">
        <v>1</v>
      </c>
      <c r="BP76" s="114" t="s">
        <v>217</v>
      </c>
      <c r="BQ76" s="115" t="s">
        <v>217</v>
      </c>
      <c r="BR76" s="115" t="s">
        <v>217</v>
      </c>
      <c r="BS76" s="115" t="s">
        <v>216</v>
      </c>
      <c r="BT76" s="115" t="s">
        <v>216</v>
      </c>
      <c r="BU76" s="115" t="s">
        <v>216</v>
      </c>
      <c r="BV76" s="130" t="s">
        <v>217</v>
      </c>
      <c r="BW76" s="116" t="s">
        <v>216</v>
      </c>
    </row>
    <row r="77" spans="48:80" ht="10.8" customHeight="1" thickBot="1">
      <c r="BP77" s="127">
        <f t="shared" ref="BP77:BW77" si="55">IF(BP75+BP76=1,1,0)</f>
        <v>0</v>
      </c>
      <c r="BQ77" s="127">
        <f t="shared" si="55"/>
        <v>0</v>
      </c>
      <c r="BR77" s="127">
        <f t="shared" si="55"/>
        <v>1</v>
      </c>
      <c r="BS77" s="128">
        <f t="shared" si="55"/>
        <v>0</v>
      </c>
      <c r="BT77" s="127">
        <f t="shared" si="55"/>
        <v>1</v>
      </c>
      <c r="BU77" s="128">
        <f t="shared" si="55"/>
        <v>1</v>
      </c>
      <c r="BV77" s="127">
        <f t="shared" si="55"/>
        <v>0</v>
      </c>
      <c r="BW77" s="129">
        <f t="shared" si="55"/>
        <v>1</v>
      </c>
    </row>
    <row r="78" spans="48:80" ht="10.8" customHeight="1" thickBot="1">
      <c r="BR78" s="113">
        <v>1</v>
      </c>
      <c r="BS78" s="114" t="s">
        <v>217</v>
      </c>
      <c r="BT78" s="115" t="s">
        <v>217</v>
      </c>
      <c r="BU78" s="115" t="s">
        <v>217</v>
      </c>
      <c r="BV78" s="130" t="s">
        <v>216</v>
      </c>
      <c r="BW78" s="115" t="s">
        <v>216</v>
      </c>
      <c r="BX78" s="115" t="s">
        <v>216</v>
      </c>
      <c r="BY78" s="115" t="s">
        <v>217</v>
      </c>
      <c r="BZ78" s="116" t="s">
        <v>216</v>
      </c>
    </row>
    <row r="79" spans="48:80" ht="10.8" customHeight="1" thickBot="1">
      <c r="BS79" s="127">
        <f t="shared" ref="BS79:BZ79" si="56">IF(BS77+BS78=1,1,0)</f>
        <v>0</v>
      </c>
      <c r="BT79" s="127">
        <f t="shared" si="56"/>
        <v>1</v>
      </c>
      <c r="BU79" s="128">
        <f t="shared" si="56"/>
        <v>1</v>
      </c>
      <c r="BV79" s="128">
        <f t="shared" si="56"/>
        <v>1</v>
      </c>
      <c r="BW79" s="127">
        <f t="shared" si="56"/>
        <v>0</v>
      </c>
      <c r="BX79" s="127">
        <f t="shared" si="56"/>
        <v>1</v>
      </c>
      <c r="BY79" s="127">
        <f t="shared" si="56"/>
        <v>0</v>
      </c>
      <c r="BZ79" s="129">
        <f t="shared" si="56"/>
        <v>1</v>
      </c>
    </row>
    <row r="80" spans="48:80" ht="10.8" customHeight="1" thickBot="1">
      <c r="BT80" s="113">
        <v>1</v>
      </c>
      <c r="BU80" s="114" t="s">
        <v>217</v>
      </c>
      <c r="BV80" s="130" t="s">
        <v>217</v>
      </c>
      <c r="BW80" s="115" t="s">
        <v>217</v>
      </c>
      <c r="BX80" s="115" t="s">
        <v>216</v>
      </c>
      <c r="BY80" s="115" t="s">
        <v>216</v>
      </c>
      <c r="BZ80" s="115" t="s">
        <v>216</v>
      </c>
      <c r="CA80" s="115" t="s">
        <v>217</v>
      </c>
      <c r="CB80" s="116" t="s">
        <v>216</v>
      </c>
    </row>
    <row r="81" spans="72:81" ht="10.8" customHeight="1" thickBot="1">
      <c r="BU81" s="128">
        <f t="shared" ref="BU81:CB81" si="57">IF(BU79+BU80=1,1,0)</f>
        <v>1</v>
      </c>
      <c r="BV81" s="127">
        <f t="shared" si="57"/>
        <v>1</v>
      </c>
      <c r="BW81" s="127">
        <f t="shared" si="57"/>
        <v>0</v>
      </c>
      <c r="BX81" s="128">
        <f t="shared" si="57"/>
        <v>0</v>
      </c>
      <c r="BY81" s="127">
        <f t="shared" si="57"/>
        <v>1</v>
      </c>
      <c r="BZ81" s="127">
        <f t="shared" si="57"/>
        <v>0</v>
      </c>
      <c r="CA81" s="127">
        <f t="shared" si="57"/>
        <v>0</v>
      </c>
      <c r="CB81" s="129">
        <f t="shared" si="57"/>
        <v>1</v>
      </c>
    </row>
    <row r="82" spans="72:81" ht="10.8" customHeight="1" thickBot="1">
      <c r="BU82" s="131">
        <v>1</v>
      </c>
      <c r="BV82" s="130" t="s">
        <v>217</v>
      </c>
      <c r="BW82" s="115" t="s">
        <v>217</v>
      </c>
      <c r="BX82" s="115" t="s">
        <v>217</v>
      </c>
      <c r="BY82" s="115" t="s">
        <v>216</v>
      </c>
      <c r="BZ82" s="115" t="s">
        <v>216</v>
      </c>
      <c r="CA82" s="115" t="s">
        <v>216</v>
      </c>
      <c r="CB82" s="115" t="s">
        <v>217</v>
      </c>
      <c r="CC82" s="116" t="s">
        <v>216</v>
      </c>
    </row>
    <row r="83" spans="72:81" ht="10.8" customHeight="1" thickBot="1">
      <c r="BU83" s="126"/>
      <c r="BV83" s="127">
        <f t="shared" ref="BV83:CC83" si="58">IF(BV81+BV82=1,1,0)</f>
        <v>1</v>
      </c>
      <c r="BW83" s="127">
        <f t="shared" si="58"/>
        <v>0</v>
      </c>
      <c r="BX83" s="127">
        <f t="shared" si="58"/>
        <v>0</v>
      </c>
      <c r="BY83" s="128">
        <f t="shared" si="58"/>
        <v>0</v>
      </c>
      <c r="BZ83" s="127">
        <f t="shared" si="58"/>
        <v>1</v>
      </c>
      <c r="CA83" s="127">
        <f t="shared" si="58"/>
        <v>1</v>
      </c>
      <c r="CB83" s="127">
        <f t="shared" si="58"/>
        <v>1</v>
      </c>
      <c r="CC83" s="129">
        <f t="shared" si="58"/>
        <v>1</v>
      </c>
    </row>
    <row r="84" spans="72:81" ht="10.8" customHeight="1" thickBot="1">
      <c r="BT84" s="107" t="s">
        <v>221</v>
      </c>
      <c r="BV84" s="117" t="s">
        <v>216</v>
      </c>
      <c r="BW84" s="118" t="s">
        <v>216</v>
      </c>
      <c r="BX84" s="118" t="s">
        <v>216</v>
      </c>
      <c r="BY84" s="118" t="s">
        <v>216</v>
      </c>
      <c r="BZ84" s="118" t="s">
        <v>216</v>
      </c>
      <c r="CA84" s="118" t="s">
        <v>216</v>
      </c>
      <c r="CB84" s="118" t="s">
        <v>216</v>
      </c>
      <c r="CC84" s="119" t="s">
        <v>216</v>
      </c>
    </row>
    <row r="85" spans="72:81" ht="10.8" customHeight="1">
      <c r="BT85" s="132" t="s">
        <v>218</v>
      </c>
      <c r="BU85" s="132" t="s">
        <v>219</v>
      </c>
      <c r="BV85" s="127">
        <f t="shared" ref="BV85:CC85" si="59">IF(BV83+BV84=1,1,0)</f>
        <v>0</v>
      </c>
      <c r="BW85" s="127">
        <f t="shared" si="59"/>
        <v>1</v>
      </c>
      <c r="BX85" s="127">
        <f t="shared" si="59"/>
        <v>1</v>
      </c>
      <c r="BY85" s="128">
        <f t="shared" si="59"/>
        <v>1</v>
      </c>
      <c r="BZ85" s="127">
        <f t="shared" si="59"/>
        <v>0</v>
      </c>
      <c r="CA85" s="127">
        <f t="shared" si="59"/>
        <v>0</v>
      </c>
      <c r="CB85" s="127">
        <f t="shared" si="59"/>
        <v>0</v>
      </c>
      <c r="CC85" s="129">
        <f t="shared" si="59"/>
        <v>0</v>
      </c>
    </row>
    <row r="86" spans="72:81" ht="10.8" customHeight="1">
      <c r="BT86" s="133" t="str">
        <f>"0x" &amp; DEC2HEX(BU86)</f>
        <v>0x70</v>
      </c>
      <c r="BU86" s="134">
        <f>(CC85*1)+(CB85*2)^1+(CA85*2)^2+(BZ85*2)^3+(BY85*2)^4+(BX85*2)^5+(BW85*2)^6+(BV85*2)^7</f>
        <v>112</v>
      </c>
    </row>
  </sheetData>
  <mergeCells count="57">
    <mergeCell ref="AK3:AN3"/>
    <mergeCell ref="M2:P2"/>
    <mergeCell ref="Q2:T2"/>
    <mergeCell ref="W2:Z2"/>
    <mergeCell ref="AA2:AD2"/>
    <mergeCell ref="AG2:AJ2"/>
    <mergeCell ref="AK2:AN2"/>
    <mergeCell ref="M3:P3"/>
    <mergeCell ref="Q3:T3"/>
    <mergeCell ref="W3:Z3"/>
    <mergeCell ref="AA3:AD3"/>
    <mergeCell ref="AG3:AJ3"/>
    <mergeCell ref="AX6:BE6"/>
    <mergeCell ref="BF6:BM6"/>
    <mergeCell ref="BN6:BU6"/>
    <mergeCell ref="B7:E7"/>
    <mergeCell ref="F7:I7"/>
    <mergeCell ref="J7:M7"/>
    <mergeCell ref="N7:Q7"/>
    <mergeCell ref="R7:U7"/>
    <mergeCell ref="V7:Y7"/>
    <mergeCell ref="Z7:AC7"/>
    <mergeCell ref="B6:I6"/>
    <mergeCell ref="J6:Q6"/>
    <mergeCell ref="R6:Y6"/>
    <mergeCell ref="Z6:AG6"/>
    <mergeCell ref="AH6:AO6"/>
    <mergeCell ref="AP6:AW6"/>
    <mergeCell ref="BR7:BU7"/>
    <mergeCell ref="B8:E8"/>
    <mergeCell ref="F8:I8"/>
    <mergeCell ref="J8:M8"/>
    <mergeCell ref="N8:Q8"/>
    <mergeCell ref="R8:U8"/>
    <mergeCell ref="AD7:AG7"/>
    <mergeCell ref="AH7:AK7"/>
    <mergeCell ref="AL7:AO7"/>
    <mergeCell ref="AP7:AS7"/>
    <mergeCell ref="AT7:AW7"/>
    <mergeCell ref="AX7:BA7"/>
    <mergeCell ref="AP8:AS8"/>
    <mergeCell ref="BB7:BE7"/>
    <mergeCell ref="BF7:BI7"/>
    <mergeCell ref="BJ7:BM7"/>
    <mergeCell ref="BN7:BQ7"/>
    <mergeCell ref="V8:Y8"/>
    <mergeCell ref="Z8:AC8"/>
    <mergeCell ref="AD8:AG8"/>
    <mergeCell ref="AH8:AK8"/>
    <mergeCell ref="AL8:AO8"/>
    <mergeCell ref="BR8:BU8"/>
    <mergeCell ref="AT8:AW8"/>
    <mergeCell ref="AX8:BA8"/>
    <mergeCell ref="BB8:BE8"/>
    <mergeCell ref="BF8:BI8"/>
    <mergeCell ref="BJ8:BM8"/>
    <mergeCell ref="BN8:BQ8"/>
  </mergeCells>
  <phoneticPr fontId="2"/>
  <pageMargins left="0.7" right="0.7" top="0.75" bottom="0.75" header="0.3" footer="0.3"/>
  <pageSetup paperSize="9" orientation="portrait" r:id="rId1"/>
  <headerFooter>
    <oddHeader>&amp;R&amp;"Calibri"&amp;10&amp;K000000 Internal&amp;1#_x000D_</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0F02E-39AE-4205-A889-78F531078160}">
  <dimension ref="A1:IZ46"/>
  <sheetViews>
    <sheetView showGridLines="0" view="pageBreakPreview" zoomScaleNormal="115" zoomScaleSheetLayoutView="100" workbookViewId="0"/>
  </sheetViews>
  <sheetFormatPr defaultRowHeight="13.8"/>
  <cols>
    <col min="1" max="1" width="2.3984375" customWidth="1"/>
    <col min="2" max="2" width="8.3984375" customWidth="1"/>
    <col min="3" max="3" width="2.296875" customWidth="1"/>
    <col min="4" max="259" width="1" customWidth="1"/>
    <col min="260" max="260" width="4.09765625" customWidth="1"/>
  </cols>
  <sheetData>
    <row r="1" spans="1:260" ht="18.600000000000001">
      <c r="A1" s="142" t="s">
        <v>226</v>
      </c>
      <c r="IZ1" t="s">
        <v>227</v>
      </c>
    </row>
    <row r="2" spans="1:260" ht="18.600000000000001">
      <c r="A2" s="142"/>
    </row>
    <row r="3" spans="1:260" ht="18.600000000000001">
      <c r="A3" s="142"/>
      <c r="B3" s="190" t="s">
        <v>228</v>
      </c>
      <c r="C3" s="191"/>
      <c r="D3" s="191"/>
      <c r="E3" s="192"/>
      <c r="G3" t="s">
        <v>229</v>
      </c>
    </row>
    <row r="4" spans="1:260">
      <c r="B4" s="193" t="s">
        <v>230</v>
      </c>
      <c r="C4" s="194"/>
      <c r="D4" s="194"/>
      <c r="E4" s="195"/>
      <c r="G4" t="s">
        <v>231</v>
      </c>
      <c r="IZ4" t="s">
        <v>227</v>
      </c>
    </row>
    <row r="5" spans="1:260">
      <c r="B5" s="106"/>
      <c r="C5" s="106"/>
      <c r="D5" s="106"/>
      <c r="E5" s="106"/>
    </row>
    <row r="6" spans="1:260">
      <c r="B6" t="s">
        <v>232</v>
      </c>
      <c r="C6" s="196">
        <f>LEN(C7)</f>
        <v>64</v>
      </c>
      <c r="D6" s="196"/>
      <c r="IZ6" t="s">
        <v>227</v>
      </c>
    </row>
    <row r="7" spans="1:260" ht="14.4" thickBot="1">
      <c r="B7" s="143" t="s">
        <v>233</v>
      </c>
      <c r="C7" s="197" t="s">
        <v>234</v>
      </c>
      <c r="D7" s="198"/>
      <c r="E7" s="198"/>
      <c r="F7" s="198"/>
      <c r="G7" s="198"/>
      <c r="H7" s="198"/>
      <c r="I7" s="198"/>
      <c r="J7" s="198"/>
      <c r="K7" s="198"/>
      <c r="L7" s="198"/>
      <c r="M7" s="198"/>
      <c r="N7" s="198"/>
      <c r="O7" s="198"/>
      <c r="P7" s="198"/>
      <c r="Q7" s="198"/>
      <c r="R7" s="198"/>
      <c r="S7" s="198"/>
      <c r="T7" s="198"/>
      <c r="U7" s="198"/>
      <c r="V7" s="198"/>
      <c r="W7" s="198"/>
      <c r="X7" s="198"/>
      <c r="Y7" s="198"/>
      <c r="Z7" s="198"/>
      <c r="AA7" s="198"/>
      <c r="AB7" s="198"/>
      <c r="AC7" s="198"/>
      <c r="AD7" s="198"/>
      <c r="AE7" s="198"/>
      <c r="AF7" s="198"/>
      <c r="AG7" s="198"/>
      <c r="AH7" s="198"/>
      <c r="AI7" s="198"/>
      <c r="AJ7" s="198"/>
      <c r="AK7" s="198"/>
      <c r="AL7" s="198"/>
      <c r="AM7" s="198"/>
      <c r="AN7" s="198"/>
      <c r="AO7" s="198"/>
      <c r="AP7" s="198"/>
      <c r="AQ7" s="198"/>
      <c r="AR7" s="198"/>
      <c r="AS7" s="198"/>
      <c r="AT7" s="198"/>
      <c r="AU7" s="198"/>
      <c r="AV7" s="198"/>
      <c r="AW7" s="198"/>
      <c r="AX7" s="198"/>
      <c r="AY7" s="198"/>
      <c r="AZ7" s="198"/>
      <c r="BA7" s="198"/>
      <c r="BB7" s="198"/>
      <c r="BC7" s="198"/>
      <c r="BD7" s="198"/>
      <c r="BE7" s="198"/>
      <c r="BF7" s="198"/>
      <c r="BG7" s="198"/>
      <c r="BH7" s="198"/>
      <c r="BI7" s="198"/>
      <c r="BJ7" s="198"/>
      <c r="BK7" s="198"/>
      <c r="BL7" s="198"/>
      <c r="BM7" s="198"/>
      <c r="BN7" s="198"/>
      <c r="BO7" s="198"/>
      <c r="BP7" s="198"/>
      <c r="BQ7" s="198"/>
      <c r="BR7" s="198"/>
      <c r="BS7" s="198"/>
      <c r="BT7" s="198"/>
      <c r="BU7" s="198"/>
      <c r="BV7" s="198"/>
      <c r="BW7" s="198"/>
      <c r="BX7" s="198"/>
      <c r="BY7" s="198"/>
      <c r="BZ7" s="198"/>
      <c r="CA7" s="198"/>
      <c r="CB7" s="198"/>
      <c r="CC7" s="198"/>
      <c r="CD7" s="198"/>
      <c r="CE7" s="199"/>
      <c r="IZ7" t="s">
        <v>227</v>
      </c>
    </row>
    <row r="8" spans="1:260" ht="14.4" thickBot="1">
      <c r="B8" t="s">
        <v>235</v>
      </c>
      <c r="D8" s="200">
        <v>1</v>
      </c>
      <c r="E8" s="189"/>
      <c r="F8" s="189"/>
      <c r="G8" s="189"/>
      <c r="H8" s="189">
        <v>2</v>
      </c>
      <c r="I8" s="189"/>
      <c r="J8" s="189"/>
      <c r="K8" s="189"/>
      <c r="L8" s="189">
        <v>3</v>
      </c>
      <c r="M8" s="189"/>
      <c r="N8" s="189"/>
      <c r="O8" s="189"/>
      <c r="P8" s="189">
        <v>4</v>
      </c>
      <c r="Q8" s="189"/>
      <c r="R8" s="189"/>
      <c r="S8" s="189"/>
      <c r="T8" s="189">
        <v>5</v>
      </c>
      <c r="U8" s="189"/>
      <c r="V8" s="189"/>
      <c r="W8" s="189"/>
      <c r="X8" s="189">
        <v>6</v>
      </c>
      <c r="Y8" s="189"/>
      <c r="Z8" s="189"/>
      <c r="AA8" s="189"/>
      <c r="AB8" s="189">
        <v>7</v>
      </c>
      <c r="AC8" s="189"/>
      <c r="AD8" s="189"/>
      <c r="AE8" s="189"/>
      <c r="AF8" s="189">
        <v>8</v>
      </c>
      <c r="AG8" s="189"/>
      <c r="AH8" s="189"/>
      <c r="AI8" s="189"/>
      <c r="AJ8" s="189">
        <v>9</v>
      </c>
      <c r="AK8" s="189"/>
      <c r="AL8" s="189"/>
      <c r="AM8" s="189"/>
      <c r="AN8" s="189">
        <v>10</v>
      </c>
      <c r="AO8" s="189"/>
      <c r="AP8" s="189"/>
      <c r="AQ8" s="189"/>
      <c r="AR8" s="189">
        <v>11</v>
      </c>
      <c r="AS8" s="189"/>
      <c r="AT8" s="189"/>
      <c r="AU8" s="189"/>
      <c r="AV8" s="189">
        <v>12</v>
      </c>
      <c r="AW8" s="189"/>
      <c r="AX8" s="189"/>
      <c r="AY8" s="189"/>
      <c r="AZ8" s="189">
        <v>13</v>
      </c>
      <c r="BA8" s="189"/>
      <c r="BB8" s="189"/>
      <c r="BC8" s="189"/>
      <c r="BD8" s="189">
        <v>14</v>
      </c>
      <c r="BE8" s="189"/>
      <c r="BF8" s="189"/>
      <c r="BG8" s="189"/>
      <c r="BH8" s="189">
        <v>15</v>
      </c>
      <c r="BI8" s="189"/>
      <c r="BJ8" s="189"/>
      <c r="BK8" s="189"/>
      <c r="BL8" s="189">
        <v>16</v>
      </c>
      <c r="BM8" s="189"/>
      <c r="BN8" s="189"/>
      <c r="BO8" s="189"/>
      <c r="BP8" s="189">
        <v>17</v>
      </c>
      <c r="BQ8" s="189"/>
      <c r="BR8" s="189"/>
      <c r="BS8" s="189"/>
      <c r="BT8" s="189">
        <v>18</v>
      </c>
      <c r="BU8" s="189"/>
      <c r="BV8" s="189"/>
      <c r="BW8" s="189"/>
      <c r="BX8" s="189">
        <v>19</v>
      </c>
      <c r="BY8" s="189"/>
      <c r="BZ8" s="189"/>
      <c r="CA8" s="189"/>
      <c r="CB8" s="189">
        <v>20</v>
      </c>
      <c r="CC8" s="189"/>
      <c r="CD8" s="189"/>
      <c r="CE8" s="189"/>
      <c r="CF8" s="189">
        <v>21</v>
      </c>
      <c r="CG8" s="189"/>
      <c r="CH8" s="189"/>
      <c r="CI8" s="189"/>
      <c r="CJ8" s="189">
        <v>22</v>
      </c>
      <c r="CK8" s="189"/>
      <c r="CL8" s="189"/>
      <c r="CM8" s="189"/>
      <c r="CN8" s="189">
        <v>23</v>
      </c>
      <c r="CO8" s="189"/>
      <c r="CP8" s="189"/>
      <c r="CQ8" s="189"/>
      <c r="CR8" s="189">
        <v>24</v>
      </c>
      <c r="CS8" s="189"/>
      <c r="CT8" s="189"/>
      <c r="CU8" s="189"/>
      <c r="CV8" s="189">
        <v>25</v>
      </c>
      <c r="CW8" s="189"/>
      <c r="CX8" s="189"/>
      <c r="CY8" s="189"/>
      <c r="CZ8" s="189">
        <v>26</v>
      </c>
      <c r="DA8" s="189"/>
      <c r="DB8" s="189"/>
      <c r="DC8" s="189"/>
      <c r="DD8" s="189">
        <v>27</v>
      </c>
      <c r="DE8" s="189"/>
      <c r="DF8" s="189"/>
      <c r="DG8" s="189"/>
      <c r="DH8" s="189">
        <v>28</v>
      </c>
      <c r="DI8" s="189"/>
      <c r="DJ8" s="189"/>
      <c r="DK8" s="189"/>
      <c r="DL8" s="189">
        <v>29</v>
      </c>
      <c r="DM8" s="189"/>
      <c r="DN8" s="189"/>
      <c r="DO8" s="189"/>
      <c r="DP8" s="189">
        <v>30</v>
      </c>
      <c r="DQ8" s="189"/>
      <c r="DR8" s="189"/>
      <c r="DS8" s="189"/>
      <c r="DT8" s="189">
        <v>31</v>
      </c>
      <c r="DU8" s="189"/>
      <c r="DV8" s="189"/>
      <c r="DW8" s="189"/>
      <c r="DX8" s="189">
        <v>32</v>
      </c>
      <c r="DY8" s="189"/>
      <c r="DZ8" s="189"/>
      <c r="EA8" s="189"/>
      <c r="EB8" s="189">
        <v>33</v>
      </c>
      <c r="EC8" s="189"/>
      <c r="ED8" s="189"/>
      <c r="EE8" s="189"/>
      <c r="EF8" s="189">
        <v>34</v>
      </c>
      <c r="EG8" s="189"/>
      <c r="EH8" s="189"/>
      <c r="EI8" s="189"/>
      <c r="EJ8" s="189">
        <v>35</v>
      </c>
      <c r="EK8" s="189"/>
      <c r="EL8" s="189"/>
      <c r="EM8" s="189"/>
      <c r="EN8" s="189">
        <v>36</v>
      </c>
      <c r="EO8" s="189"/>
      <c r="EP8" s="189"/>
      <c r="EQ8" s="189"/>
      <c r="ER8" s="189">
        <v>37</v>
      </c>
      <c r="ES8" s="189"/>
      <c r="ET8" s="189"/>
      <c r="EU8" s="189"/>
      <c r="EV8" s="189">
        <v>38</v>
      </c>
      <c r="EW8" s="189"/>
      <c r="EX8" s="189"/>
      <c r="EY8" s="189"/>
      <c r="EZ8" s="189">
        <v>39</v>
      </c>
      <c r="FA8" s="189"/>
      <c r="FB8" s="189"/>
      <c r="FC8" s="189"/>
      <c r="FD8" s="189">
        <v>40</v>
      </c>
      <c r="FE8" s="189"/>
      <c r="FF8" s="189"/>
      <c r="FG8" s="189"/>
      <c r="FH8" s="189">
        <v>41</v>
      </c>
      <c r="FI8" s="189"/>
      <c r="FJ8" s="189"/>
      <c r="FK8" s="189"/>
      <c r="FL8" s="189">
        <v>42</v>
      </c>
      <c r="FM8" s="189"/>
      <c r="FN8" s="189"/>
      <c r="FO8" s="189"/>
      <c r="FP8" s="189">
        <v>43</v>
      </c>
      <c r="FQ8" s="189"/>
      <c r="FR8" s="189"/>
      <c r="FS8" s="189"/>
      <c r="FT8" s="189">
        <v>44</v>
      </c>
      <c r="FU8" s="189"/>
      <c r="FV8" s="189"/>
      <c r="FW8" s="189"/>
      <c r="FX8" s="189">
        <v>45</v>
      </c>
      <c r="FY8" s="189"/>
      <c r="FZ8" s="189"/>
      <c r="GA8" s="189"/>
      <c r="GB8" s="189">
        <v>46</v>
      </c>
      <c r="GC8" s="189"/>
      <c r="GD8" s="189"/>
      <c r="GE8" s="189"/>
      <c r="GF8" s="189">
        <v>47</v>
      </c>
      <c r="GG8" s="189"/>
      <c r="GH8" s="189"/>
      <c r="GI8" s="189"/>
      <c r="GJ8" s="189">
        <v>48</v>
      </c>
      <c r="GK8" s="189"/>
      <c r="GL8" s="189"/>
      <c r="GM8" s="189"/>
      <c r="GN8" s="189">
        <v>49</v>
      </c>
      <c r="GO8" s="189"/>
      <c r="GP8" s="189"/>
      <c r="GQ8" s="189"/>
      <c r="GR8" s="189">
        <v>50</v>
      </c>
      <c r="GS8" s="189"/>
      <c r="GT8" s="189"/>
      <c r="GU8" s="189"/>
      <c r="GV8" s="189">
        <v>51</v>
      </c>
      <c r="GW8" s="189"/>
      <c r="GX8" s="189"/>
      <c r="GY8" s="189"/>
      <c r="GZ8" s="189">
        <v>52</v>
      </c>
      <c r="HA8" s="189"/>
      <c r="HB8" s="189"/>
      <c r="HC8" s="189"/>
      <c r="HD8" s="189">
        <v>53</v>
      </c>
      <c r="HE8" s="189"/>
      <c r="HF8" s="189"/>
      <c r="HG8" s="189"/>
      <c r="HH8" s="189">
        <v>54</v>
      </c>
      <c r="HI8" s="189"/>
      <c r="HJ8" s="189"/>
      <c r="HK8" s="189"/>
      <c r="HL8" s="189">
        <v>55</v>
      </c>
      <c r="HM8" s="189"/>
      <c r="HN8" s="189"/>
      <c r="HO8" s="189"/>
      <c r="HP8" s="189">
        <v>56</v>
      </c>
      <c r="HQ8" s="189"/>
      <c r="HR8" s="189"/>
      <c r="HS8" s="189"/>
      <c r="HT8" s="189">
        <v>57</v>
      </c>
      <c r="HU8" s="189"/>
      <c r="HV8" s="189"/>
      <c r="HW8" s="189"/>
      <c r="HX8" s="189">
        <v>58</v>
      </c>
      <c r="HY8" s="189"/>
      <c r="HZ8" s="189"/>
      <c r="IA8" s="189"/>
      <c r="IB8" s="189">
        <v>59</v>
      </c>
      <c r="IC8" s="189"/>
      <c r="ID8" s="189"/>
      <c r="IE8" s="189"/>
      <c r="IF8" s="189">
        <v>60</v>
      </c>
      <c r="IG8" s="189"/>
      <c r="IH8" s="189"/>
      <c r="II8" s="189"/>
      <c r="IJ8" s="189">
        <v>61</v>
      </c>
      <c r="IK8" s="189"/>
      <c r="IL8" s="189"/>
      <c r="IM8" s="189"/>
      <c r="IN8" s="189">
        <v>62</v>
      </c>
      <c r="IO8" s="189"/>
      <c r="IP8" s="189"/>
      <c r="IQ8" s="189"/>
      <c r="IR8" s="189">
        <v>63</v>
      </c>
      <c r="IS8" s="189"/>
      <c r="IT8" s="189"/>
      <c r="IU8" s="189"/>
      <c r="IV8" s="189">
        <v>64</v>
      </c>
      <c r="IW8" s="189"/>
      <c r="IX8" s="189"/>
      <c r="IY8" s="201"/>
      <c r="IZ8" t="s">
        <v>227</v>
      </c>
    </row>
    <row r="9" spans="1:260" ht="14.4" thickTop="1">
      <c r="B9" t="s">
        <v>236</v>
      </c>
      <c r="D9" s="144" t="str">
        <f>RIGHT(LEFT($C$7,D8),1)</f>
        <v>d</v>
      </c>
      <c r="E9" s="145"/>
      <c r="F9" s="145"/>
      <c r="G9" s="146"/>
      <c r="H9" s="147" t="str">
        <f>RIGHT(LEFT($C$7,H8),1)</f>
        <v>5</v>
      </c>
      <c r="I9" s="145"/>
      <c r="J9" s="145"/>
      <c r="K9" s="146"/>
      <c r="L9" s="147" t="str">
        <f>RIGHT(LEFT($C$7,L8),1)</f>
        <v>8</v>
      </c>
      <c r="M9" s="145"/>
      <c r="N9" s="145"/>
      <c r="O9" s="146"/>
      <c r="P9" s="147" t="str">
        <f>RIGHT(LEFT($C$7,P8),1)</f>
        <v>9</v>
      </c>
      <c r="Q9" s="145"/>
      <c r="R9" s="145"/>
      <c r="S9" s="146"/>
      <c r="T9" s="147" t="str">
        <f>RIGHT(LEFT($C$7,T8),1)</f>
        <v>d</v>
      </c>
      <c r="U9" s="145"/>
      <c r="V9" s="145"/>
      <c r="W9" s="146"/>
      <c r="X9" s="147" t="str">
        <f>RIGHT(LEFT($C$7,X8),1)</f>
        <v>f</v>
      </c>
      <c r="Y9" s="145"/>
      <c r="Z9" s="145"/>
      <c r="AA9" s="146"/>
      <c r="AB9" s="147" t="str">
        <f>RIGHT(LEFT($C$7,AB8),1)</f>
        <v>f</v>
      </c>
      <c r="AC9" s="145"/>
      <c r="AD9" s="145"/>
      <c r="AE9" s="146"/>
      <c r="AF9" s="147" t="str">
        <f t="shared" ref="AF9:CQ9" si="0">RIGHT(LEFT($C$7,AF8),1)</f>
        <v>f</v>
      </c>
      <c r="AG9" s="145" t="str">
        <f t="shared" si="0"/>
        <v/>
      </c>
      <c r="AH9" s="145" t="str">
        <f t="shared" si="0"/>
        <v/>
      </c>
      <c r="AI9" s="146" t="str">
        <f t="shared" si="0"/>
        <v/>
      </c>
      <c r="AJ9" s="147" t="str">
        <f t="shared" si="0"/>
        <v>f</v>
      </c>
      <c r="AK9" s="145" t="str">
        <f t="shared" si="0"/>
        <v/>
      </c>
      <c r="AL9" s="145" t="str">
        <f t="shared" si="0"/>
        <v/>
      </c>
      <c r="AM9" s="146" t="str">
        <f t="shared" si="0"/>
        <v/>
      </c>
      <c r="AN9" s="147" t="str">
        <f t="shared" si="0"/>
        <v>f</v>
      </c>
      <c r="AO9" s="145" t="str">
        <f t="shared" si="0"/>
        <v/>
      </c>
      <c r="AP9" s="145" t="str">
        <f t="shared" si="0"/>
        <v/>
      </c>
      <c r="AQ9" s="146" t="str">
        <f t="shared" si="0"/>
        <v/>
      </c>
      <c r="AR9" s="147" t="str">
        <f t="shared" si="0"/>
        <v>f</v>
      </c>
      <c r="AS9" s="145" t="str">
        <f t="shared" si="0"/>
        <v/>
      </c>
      <c r="AT9" s="145" t="str">
        <f t="shared" si="0"/>
        <v/>
      </c>
      <c r="AU9" s="146" t="str">
        <f t="shared" si="0"/>
        <v/>
      </c>
      <c r="AV9" s="147" t="str">
        <f t="shared" si="0"/>
        <v>f</v>
      </c>
      <c r="AW9" s="145" t="str">
        <f t="shared" si="0"/>
        <v/>
      </c>
      <c r="AX9" s="145" t="str">
        <f t="shared" si="0"/>
        <v/>
      </c>
      <c r="AY9" s="146" t="str">
        <f t="shared" si="0"/>
        <v/>
      </c>
      <c r="AZ9" s="147" t="str">
        <f t="shared" si="0"/>
        <v>f</v>
      </c>
      <c r="BA9" s="145" t="str">
        <f t="shared" si="0"/>
        <v/>
      </c>
      <c r="BB9" s="145" t="str">
        <f t="shared" si="0"/>
        <v/>
      </c>
      <c r="BC9" s="146" t="str">
        <f t="shared" si="0"/>
        <v/>
      </c>
      <c r="BD9" s="147" t="str">
        <f t="shared" si="0"/>
        <v>f</v>
      </c>
      <c r="BE9" s="145" t="str">
        <f t="shared" si="0"/>
        <v/>
      </c>
      <c r="BF9" s="145" t="str">
        <f t="shared" si="0"/>
        <v/>
      </c>
      <c r="BG9" s="146" t="str">
        <f t="shared" si="0"/>
        <v/>
      </c>
      <c r="BH9" s="147" t="str">
        <f t="shared" si="0"/>
        <v>f</v>
      </c>
      <c r="BI9" s="145" t="str">
        <f t="shared" si="0"/>
        <v/>
      </c>
      <c r="BJ9" s="145" t="str">
        <f t="shared" si="0"/>
        <v/>
      </c>
      <c r="BK9" s="146" t="str">
        <f t="shared" si="0"/>
        <v/>
      </c>
      <c r="BL9" s="147" t="str">
        <f t="shared" si="0"/>
        <v>f</v>
      </c>
      <c r="BM9" s="145" t="str">
        <f t="shared" si="0"/>
        <v/>
      </c>
      <c r="BN9" s="145" t="str">
        <f t="shared" si="0"/>
        <v/>
      </c>
      <c r="BO9" s="146" t="str">
        <f t="shared" si="0"/>
        <v/>
      </c>
      <c r="BP9" s="147" t="str">
        <f t="shared" si="0"/>
        <v>e</v>
      </c>
      <c r="BQ9" s="145" t="str">
        <f t="shared" si="0"/>
        <v/>
      </c>
      <c r="BR9" s="145" t="str">
        <f t="shared" si="0"/>
        <v/>
      </c>
      <c r="BS9" s="146" t="str">
        <f t="shared" si="0"/>
        <v/>
      </c>
      <c r="BT9" s="147" t="str">
        <f t="shared" si="0"/>
        <v>1</v>
      </c>
      <c r="BU9" s="145" t="str">
        <f t="shared" si="0"/>
        <v/>
      </c>
      <c r="BV9" s="145" t="str">
        <f t="shared" si="0"/>
        <v/>
      </c>
      <c r="BW9" s="146" t="str">
        <f t="shared" si="0"/>
        <v/>
      </c>
      <c r="BX9" s="147" t="str">
        <f t="shared" si="0"/>
        <v>e</v>
      </c>
      <c r="BY9" s="145" t="str">
        <f t="shared" si="0"/>
        <v/>
      </c>
      <c r="BZ9" s="145" t="str">
        <f t="shared" si="0"/>
        <v/>
      </c>
      <c r="CA9" s="146" t="str">
        <f t="shared" si="0"/>
        <v/>
      </c>
      <c r="CB9" s="147" t="str">
        <f t="shared" si="0"/>
        <v>d</v>
      </c>
      <c r="CC9" s="145" t="str">
        <f t="shared" si="0"/>
        <v/>
      </c>
      <c r="CD9" s="145" t="str">
        <f t="shared" si="0"/>
        <v/>
      </c>
      <c r="CE9" s="146" t="str">
        <f t="shared" si="0"/>
        <v/>
      </c>
      <c r="CF9" s="147" t="str">
        <f t="shared" si="0"/>
        <v>5</v>
      </c>
      <c r="CG9" s="145" t="str">
        <f t="shared" si="0"/>
        <v/>
      </c>
      <c r="CH9" s="145" t="str">
        <f t="shared" si="0"/>
        <v/>
      </c>
      <c r="CI9" s="146" t="str">
        <f t="shared" si="0"/>
        <v/>
      </c>
      <c r="CJ9" s="147" t="str">
        <f t="shared" si="0"/>
        <v>6</v>
      </c>
      <c r="CK9" s="145" t="str">
        <f t="shared" si="0"/>
        <v/>
      </c>
      <c r="CL9" s="145" t="str">
        <f t="shared" si="0"/>
        <v/>
      </c>
      <c r="CM9" s="146" t="str">
        <f t="shared" si="0"/>
        <v/>
      </c>
      <c r="CN9" s="147" t="str">
        <f t="shared" si="0"/>
        <v>7</v>
      </c>
      <c r="CO9" s="145" t="str">
        <f t="shared" si="0"/>
        <v/>
      </c>
      <c r="CP9" s="145" t="str">
        <f t="shared" si="0"/>
        <v/>
      </c>
      <c r="CQ9" s="146" t="str">
        <f t="shared" si="0"/>
        <v/>
      </c>
      <c r="CR9" s="147" t="str">
        <f t="shared" ref="CR9:FC9" si="1">RIGHT(LEFT($C$7,CR8),1)</f>
        <v>8</v>
      </c>
      <c r="CS9" s="145" t="str">
        <f t="shared" si="1"/>
        <v/>
      </c>
      <c r="CT9" s="145" t="str">
        <f t="shared" si="1"/>
        <v/>
      </c>
      <c r="CU9" s="146" t="str">
        <f t="shared" si="1"/>
        <v/>
      </c>
      <c r="CV9" s="147" t="str">
        <f t="shared" si="1"/>
        <v>8</v>
      </c>
      <c r="CW9" s="145" t="str">
        <f t="shared" si="1"/>
        <v/>
      </c>
      <c r="CX9" s="145" t="str">
        <f t="shared" si="1"/>
        <v/>
      </c>
      <c r="CY9" s="146" t="str">
        <f t="shared" si="1"/>
        <v/>
      </c>
      <c r="CZ9" s="147" t="str">
        <f t="shared" si="1"/>
        <v>6</v>
      </c>
      <c r="DA9" s="145" t="str">
        <f t="shared" si="1"/>
        <v/>
      </c>
      <c r="DB9" s="145" t="str">
        <f t="shared" si="1"/>
        <v/>
      </c>
      <c r="DC9" s="146" t="str">
        <f t="shared" si="1"/>
        <v/>
      </c>
      <c r="DD9" s="147" t="str">
        <f t="shared" si="1"/>
        <v>5</v>
      </c>
      <c r="DE9" s="145" t="str">
        <f t="shared" si="1"/>
        <v/>
      </c>
      <c r="DF9" s="145" t="str">
        <f t="shared" si="1"/>
        <v/>
      </c>
      <c r="DG9" s="146" t="str">
        <f t="shared" si="1"/>
        <v/>
      </c>
      <c r="DH9" s="147" t="str">
        <f t="shared" si="1"/>
        <v>4</v>
      </c>
      <c r="DI9" s="145" t="str">
        <f t="shared" si="1"/>
        <v/>
      </c>
      <c r="DJ9" s="145" t="str">
        <f t="shared" si="1"/>
        <v/>
      </c>
      <c r="DK9" s="146" t="str">
        <f t="shared" si="1"/>
        <v/>
      </c>
      <c r="DL9" s="147" t="str">
        <f t="shared" si="1"/>
        <v>4</v>
      </c>
      <c r="DM9" s="145" t="str">
        <f t="shared" si="1"/>
        <v/>
      </c>
      <c r="DN9" s="145" t="str">
        <f t="shared" si="1"/>
        <v/>
      </c>
      <c r="DO9" s="146" t="str">
        <f t="shared" si="1"/>
        <v/>
      </c>
      <c r="DP9" s="147" t="str">
        <f t="shared" si="1"/>
        <v>6</v>
      </c>
      <c r="DQ9" s="145" t="str">
        <f t="shared" si="1"/>
        <v/>
      </c>
      <c r="DR9" s="145" t="str">
        <f t="shared" si="1"/>
        <v/>
      </c>
      <c r="DS9" s="146" t="str">
        <f t="shared" si="1"/>
        <v/>
      </c>
      <c r="DT9" s="147" t="str">
        <f t="shared" si="1"/>
        <v>7</v>
      </c>
      <c r="DU9" s="145" t="str">
        <f t="shared" si="1"/>
        <v/>
      </c>
      <c r="DV9" s="145" t="str">
        <f t="shared" si="1"/>
        <v/>
      </c>
      <c r="DW9" s="146" t="str">
        <f t="shared" si="1"/>
        <v/>
      </c>
      <c r="DX9" s="147" t="str">
        <f t="shared" si="1"/>
        <v>7</v>
      </c>
      <c r="DY9" s="145" t="str">
        <f t="shared" si="1"/>
        <v/>
      </c>
      <c r="DZ9" s="145" t="str">
        <f t="shared" si="1"/>
        <v/>
      </c>
      <c r="EA9" s="146" t="str">
        <f t="shared" si="1"/>
        <v/>
      </c>
      <c r="EB9" s="147" t="str">
        <f t="shared" si="1"/>
        <v>6</v>
      </c>
      <c r="EC9" s="145" t="str">
        <f t="shared" si="1"/>
        <v/>
      </c>
      <c r="ED9" s="145" t="str">
        <f t="shared" si="1"/>
        <v/>
      </c>
      <c r="EE9" s="146" t="str">
        <f t="shared" si="1"/>
        <v/>
      </c>
      <c r="EF9" s="147" t="str">
        <f t="shared" si="1"/>
        <v>9</v>
      </c>
      <c r="EG9" s="145" t="str">
        <f t="shared" si="1"/>
        <v/>
      </c>
      <c r="EH9" s="145" t="str">
        <f t="shared" si="1"/>
        <v/>
      </c>
      <c r="EI9" s="146" t="str">
        <f t="shared" si="1"/>
        <v/>
      </c>
      <c r="EJ9" s="147" t="str">
        <f t="shared" si="1"/>
        <v>8</v>
      </c>
      <c r="EK9" s="145" t="str">
        <f t="shared" si="1"/>
        <v/>
      </c>
      <c r="EL9" s="145" t="str">
        <f t="shared" si="1"/>
        <v/>
      </c>
      <c r="EM9" s="146" t="str">
        <f t="shared" si="1"/>
        <v/>
      </c>
      <c r="EN9" s="147" t="str">
        <f t="shared" si="1"/>
        <v>7</v>
      </c>
      <c r="EO9" s="145" t="str">
        <f t="shared" si="1"/>
        <v/>
      </c>
      <c r="EP9" s="145" t="str">
        <f t="shared" si="1"/>
        <v/>
      </c>
      <c r="EQ9" s="146" t="str">
        <f t="shared" si="1"/>
        <v/>
      </c>
      <c r="ER9" s="147" t="str">
        <f t="shared" si="1"/>
        <v>6</v>
      </c>
      <c r="ES9" s="145" t="str">
        <f t="shared" si="1"/>
        <v/>
      </c>
      <c r="ET9" s="145" t="str">
        <f t="shared" si="1"/>
        <v/>
      </c>
      <c r="EU9" s="146" t="str">
        <f t="shared" si="1"/>
        <v/>
      </c>
      <c r="EV9" s="147" t="str">
        <f t="shared" si="1"/>
        <v>5</v>
      </c>
      <c r="EW9" s="145" t="str">
        <f t="shared" si="1"/>
        <v/>
      </c>
      <c r="EX9" s="145" t="str">
        <f t="shared" si="1"/>
        <v/>
      </c>
      <c r="EY9" s="146" t="str">
        <f t="shared" si="1"/>
        <v/>
      </c>
      <c r="EZ9" s="147" t="str">
        <f t="shared" si="1"/>
        <v>4</v>
      </c>
      <c r="FA9" s="145" t="str">
        <f t="shared" si="1"/>
        <v/>
      </c>
      <c r="FB9" s="145" t="str">
        <f t="shared" si="1"/>
        <v/>
      </c>
      <c r="FC9" s="146" t="str">
        <f t="shared" si="1"/>
        <v/>
      </c>
      <c r="FD9" s="147" t="str">
        <f t="shared" ref="FD9:HO9" si="2">RIGHT(LEFT($C$7,FD8),1)</f>
        <v>3</v>
      </c>
      <c r="FE9" s="145" t="str">
        <f t="shared" si="2"/>
        <v/>
      </c>
      <c r="FF9" s="145" t="str">
        <f t="shared" si="2"/>
        <v/>
      </c>
      <c r="FG9" s="146" t="str">
        <f t="shared" si="2"/>
        <v/>
      </c>
      <c r="FH9" s="147" t="str">
        <f t="shared" si="2"/>
        <v>5</v>
      </c>
      <c r="FI9" s="145" t="str">
        <f t="shared" si="2"/>
        <v/>
      </c>
      <c r="FJ9" s="145" t="str">
        <f t="shared" si="2"/>
        <v/>
      </c>
      <c r="FK9" s="146" t="str">
        <f t="shared" si="2"/>
        <v/>
      </c>
      <c r="FL9" s="147" t="str">
        <f t="shared" si="2"/>
        <v>6</v>
      </c>
      <c r="FM9" s="145" t="str">
        <f t="shared" si="2"/>
        <v/>
      </c>
      <c r="FN9" s="145" t="str">
        <f t="shared" si="2"/>
        <v/>
      </c>
      <c r="FO9" s="146" t="str">
        <f t="shared" si="2"/>
        <v/>
      </c>
      <c r="FP9" s="147" t="str">
        <f t="shared" si="2"/>
        <v>6</v>
      </c>
      <c r="FQ9" s="145" t="str">
        <f t="shared" si="2"/>
        <v/>
      </c>
      <c r="FR9" s="145" t="str">
        <f t="shared" si="2"/>
        <v/>
      </c>
      <c r="FS9" s="146" t="str">
        <f t="shared" si="2"/>
        <v/>
      </c>
      <c r="FT9" s="147" t="str">
        <f t="shared" si="2"/>
        <v>7</v>
      </c>
      <c r="FU9" s="145" t="str">
        <f t="shared" si="2"/>
        <v/>
      </c>
      <c r="FV9" s="145" t="str">
        <f t="shared" si="2"/>
        <v/>
      </c>
      <c r="FW9" s="146" t="str">
        <f t="shared" si="2"/>
        <v/>
      </c>
      <c r="FX9" s="147" t="str">
        <f t="shared" si="2"/>
        <v>8</v>
      </c>
      <c r="FY9" s="145" t="str">
        <f t="shared" si="2"/>
        <v/>
      </c>
      <c r="FZ9" s="145" t="str">
        <f t="shared" si="2"/>
        <v/>
      </c>
      <c r="GA9" s="146" t="str">
        <f t="shared" si="2"/>
        <v/>
      </c>
      <c r="GB9" s="147" t="str">
        <f t="shared" si="2"/>
        <v>9</v>
      </c>
      <c r="GC9" s="145" t="str">
        <f t="shared" si="2"/>
        <v/>
      </c>
      <c r="GD9" s="145" t="str">
        <f t="shared" si="2"/>
        <v/>
      </c>
      <c r="GE9" s="146" t="str">
        <f t="shared" si="2"/>
        <v/>
      </c>
      <c r="GF9" s="147" t="str">
        <f t="shared" si="2"/>
        <v>8</v>
      </c>
      <c r="GG9" s="145" t="str">
        <f t="shared" si="2"/>
        <v/>
      </c>
      <c r="GH9" s="145" t="str">
        <f t="shared" si="2"/>
        <v/>
      </c>
      <c r="GI9" s="146" t="str">
        <f t="shared" si="2"/>
        <v/>
      </c>
      <c r="GJ9" s="147" t="str">
        <f t="shared" si="2"/>
        <v>7</v>
      </c>
      <c r="GK9" s="145" t="str">
        <f t="shared" si="2"/>
        <v/>
      </c>
      <c r="GL9" s="145" t="str">
        <f t="shared" si="2"/>
        <v/>
      </c>
      <c r="GM9" s="146" t="str">
        <f t="shared" si="2"/>
        <v/>
      </c>
      <c r="GN9" s="147" t="str">
        <f t="shared" si="2"/>
        <v>6</v>
      </c>
      <c r="GO9" s="145" t="str">
        <f t="shared" si="2"/>
        <v/>
      </c>
      <c r="GP9" s="145" t="str">
        <f t="shared" si="2"/>
        <v/>
      </c>
      <c r="GQ9" s="146" t="str">
        <f t="shared" si="2"/>
        <v/>
      </c>
      <c r="GR9" s="147" t="str">
        <f t="shared" si="2"/>
        <v>5</v>
      </c>
      <c r="GS9" s="145" t="str">
        <f t="shared" si="2"/>
        <v/>
      </c>
      <c r="GT9" s="145" t="str">
        <f t="shared" si="2"/>
        <v/>
      </c>
      <c r="GU9" s="146" t="str">
        <f t="shared" si="2"/>
        <v/>
      </c>
      <c r="GV9" s="147" t="str">
        <f t="shared" si="2"/>
        <v>4</v>
      </c>
      <c r="GW9" s="145" t="str">
        <f t="shared" si="2"/>
        <v/>
      </c>
      <c r="GX9" s="145" t="str">
        <f t="shared" si="2"/>
        <v/>
      </c>
      <c r="GY9" s="146" t="str">
        <f t="shared" si="2"/>
        <v/>
      </c>
      <c r="GZ9" s="147" t="str">
        <f t="shared" si="2"/>
        <v>3</v>
      </c>
      <c r="HA9" s="145" t="str">
        <f t="shared" si="2"/>
        <v/>
      </c>
      <c r="HB9" s="145" t="str">
        <f t="shared" si="2"/>
        <v/>
      </c>
      <c r="HC9" s="146" t="str">
        <f t="shared" si="2"/>
        <v/>
      </c>
      <c r="HD9" s="147" t="str">
        <f t="shared" si="2"/>
        <v>8</v>
      </c>
      <c r="HE9" s="145" t="str">
        <f t="shared" si="2"/>
        <v/>
      </c>
      <c r="HF9" s="145" t="str">
        <f t="shared" si="2"/>
        <v/>
      </c>
      <c r="HG9" s="146" t="str">
        <f t="shared" si="2"/>
        <v/>
      </c>
      <c r="HH9" s="147" t="str">
        <f t="shared" si="2"/>
        <v>7</v>
      </c>
      <c r="HI9" s="145" t="str">
        <f t="shared" si="2"/>
        <v/>
      </c>
      <c r="HJ9" s="145" t="str">
        <f t="shared" si="2"/>
        <v/>
      </c>
      <c r="HK9" s="146" t="str">
        <f t="shared" si="2"/>
        <v/>
      </c>
      <c r="HL9" s="147" t="str">
        <f t="shared" si="2"/>
        <v>6</v>
      </c>
      <c r="HM9" s="145" t="str">
        <f t="shared" si="2"/>
        <v/>
      </c>
      <c r="HN9" s="145" t="str">
        <f t="shared" si="2"/>
        <v/>
      </c>
      <c r="HO9" s="146" t="str">
        <f t="shared" si="2"/>
        <v/>
      </c>
      <c r="HP9" s="147" t="str">
        <f t="shared" ref="HP9:IY9" si="3">RIGHT(LEFT($C$7,HP8),1)</f>
        <v>6</v>
      </c>
      <c r="HQ9" s="145" t="str">
        <f t="shared" si="3"/>
        <v/>
      </c>
      <c r="HR9" s="145" t="str">
        <f t="shared" si="3"/>
        <v/>
      </c>
      <c r="HS9" s="146" t="str">
        <f t="shared" si="3"/>
        <v/>
      </c>
      <c r="HT9" s="147" t="str">
        <f t="shared" si="3"/>
        <v>5</v>
      </c>
      <c r="HU9" s="145" t="str">
        <f t="shared" si="3"/>
        <v/>
      </c>
      <c r="HV9" s="145" t="str">
        <f t="shared" si="3"/>
        <v/>
      </c>
      <c r="HW9" s="146" t="str">
        <f t="shared" si="3"/>
        <v/>
      </c>
      <c r="HX9" s="147" t="str">
        <f t="shared" si="3"/>
        <v>4</v>
      </c>
      <c r="HY9" s="145" t="str">
        <f t="shared" si="3"/>
        <v/>
      </c>
      <c r="HZ9" s="145" t="str">
        <f t="shared" si="3"/>
        <v/>
      </c>
      <c r="IA9" s="146" t="str">
        <f t="shared" si="3"/>
        <v/>
      </c>
      <c r="IB9" s="147" t="str">
        <f t="shared" si="3"/>
        <v>3</v>
      </c>
      <c r="IC9" s="145" t="str">
        <f t="shared" si="3"/>
        <v/>
      </c>
      <c r="ID9" s="145" t="str">
        <f t="shared" si="3"/>
        <v/>
      </c>
      <c r="IE9" s="146" t="str">
        <f t="shared" si="3"/>
        <v/>
      </c>
      <c r="IF9" s="147" t="str">
        <f t="shared" si="3"/>
        <v>1</v>
      </c>
      <c r="IG9" s="145" t="str">
        <f t="shared" si="3"/>
        <v/>
      </c>
      <c r="IH9" s="145" t="str">
        <f t="shared" si="3"/>
        <v/>
      </c>
      <c r="II9" s="146" t="str">
        <f t="shared" si="3"/>
        <v/>
      </c>
      <c r="IJ9" s="147" t="str">
        <f t="shared" si="3"/>
        <v>2</v>
      </c>
      <c r="IK9" s="145" t="str">
        <f t="shared" si="3"/>
        <v/>
      </c>
      <c r="IL9" s="145" t="str">
        <f t="shared" si="3"/>
        <v/>
      </c>
      <c r="IM9" s="146" t="str">
        <f t="shared" si="3"/>
        <v/>
      </c>
      <c r="IN9" s="147" t="str">
        <f t="shared" si="3"/>
        <v>2</v>
      </c>
      <c r="IO9" s="145" t="str">
        <f t="shared" si="3"/>
        <v/>
      </c>
      <c r="IP9" s="145" t="str">
        <f t="shared" si="3"/>
        <v/>
      </c>
      <c r="IQ9" s="146" t="str">
        <f t="shared" si="3"/>
        <v/>
      </c>
      <c r="IR9" s="147" t="str">
        <f t="shared" si="3"/>
        <v>3</v>
      </c>
      <c r="IS9" s="145" t="str">
        <f t="shared" si="3"/>
        <v/>
      </c>
      <c r="IT9" s="145" t="str">
        <f t="shared" si="3"/>
        <v/>
      </c>
      <c r="IU9" s="146" t="str">
        <f t="shared" si="3"/>
        <v/>
      </c>
      <c r="IV9" s="147" t="str">
        <f t="shared" si="3"/>
        <v>5</v>
      </c>
      <c r="IW9" s="145" t="str">
        <f t="shared" si="3"/>
        <v/>
      </c>
      <c r="IX9" s="145" t="str">
        <f t="shared" si="3"/>
        <v/>
      </c>
      <c r="IY9" s="146" t="str">
        <f t="shared" si="3"/>
        <v/>
      </c>
      <c r="IZ9" t="s">
        <v>227</v>
      </c>
    </row>
    <row r="10" spans="1:260">
      <c r="B10" t="s">
        <v>237</v>
      </c>
      <c r="D10" s="202" t="str">
        <f>HEX2BIN(D9,4)</f>
        <v>1101</v>
      </c>
      <c r="E10" s="203"/>
      <c r="F10" s="203"/>
      <c r="G10" s="203"/>
      <c r="H10" s="204" t="str">
        <f>HEX2BIN(H9,4)</f>
        <v>0101</v>
      </c>
      <c r="I10" s="203"/>
      <c r="J10" s="203"/>
      <c r="K10" s="203"/>
      <c r="L10" s="203" t="str">
        <f t="shared" ref="L10" si="4">HEX2BIN(L9,4)</f>
        <v>1000</v>
      </c>
      <c r="M10" s="203"/>
      <c r="N10" s="203"/>
      <c r="O10" s="203"/>
      <c r="P10" s="203" t="str">
        <f t="shared" ref="P10" si="5">HEX2BIN(P9,4)</f>
        <v>1001</v>
      </c>
      <c r="Q10" s="203"/>
      <c r="R10" s="203"/>
      <c r="S10" s="203"/>
      <c r="T10" s="204" t="str">
        <f t="shared" ref="T10" si="6">HEX2BIN(T9,4)</f>
        <v>1101</v>
      </c>
      <c r="U10" s="203"/>
      <c r="V10" s="203"/>
      <c r="W10" s="203"/>
      <c r="X10" s="203" t="str">
        <f t="shared" ref="X10" si="7">HEX2BIN(X9,4)</f>
        <v>1111</v>
      </c>
      <c r="Y10" s="203"/>
      <c r="Z10" s="203"/>
      <c r="AA10" s="205"/>
      <c r="AB10" s="202" t="str">
        <f t="shared" ref="AB10" si="8">HEX2BIN(AB9,4)</f>
        <v>1111</v>
      </c>
      <c r="AC10" s="203"/>
      <c r="AD10" s="203"/>
      <c r="AE10" s="203"/>
      <c r="AF10" s="203" t="str">
        <f t="shared" ref="AF10" si="9">HEX2BIN(AF9,4)</f>
        <v>1111</v>
      </c>
      <c r="AG10" s="203"/>
      <c r="AH10" s="203"/>
      <c r="AI10" s="206"/>
      <c r="AJ10" s="202" t="str">
        <f t="shared" ref="AJ10" si="10">HEX2BIN(AJ9,4)</f>
        <v>1111</v>
      </c>
      <c r="AK10" s="203"/>
      <c r="AL10" s="203"/>
      <c r="AM10" s="203"/>
      <c r="AN10" s="203" t="str">
        <f t="shared" ref="AN10" si="11">HEX2BIN(AN9,4)</f>
        <v>1111</v>
      </c>
      <c r="AO10" s="203"/>
      <c r="AP10" s="203"/>
      <c r="AQ10" s="206"/>
      <c r="AR10" s="202" t="str">
        <f t="shared" ref="AR10" si="12">HEX2BIN(AR9,4)</f>
        <v>1111</v>
      </c>
      <c r="AS10" s="203"/>
      <c r="AT10" s="203"/>
      <c r="AU10" s="203"/>
      <c r="AV10" s="203" t="str">
        <f t="shared" ref="AV10" si="13">HEX2BIN(AV9,4)</f>
        <v>1111</v>
      </c>
      <c r="AW10" s="203"/>
      <c r="AX10" s="203"/>
      <c r="AY10" s="206"/>
      <c r="AZ10" s="202" t="str">
        <f t="shared" ref="AZ10" si="14">HEX2BIN(AZ9,4)</f>
        <v>1111</v>
      </c>
      <c r="BA10" s="203"/>
      <c r="BB10" s="203"/>
      <c r="BC10" s="203"/>
      <c r="BD10" s="203" t="str">
        <f t="shared" ref="BD10" si="15">HEX2BIN(BD9,4)</f>
        <v>1111</v>
      </c>
      <c r="BE10" s="203"/>
      <c r="BF10" s="203"/>
      <c r="BG10" s="206"/>
      <c r="BH10" s="202" t="str">
        <f t="shared" ref="BH10" si="16">HEX2BIN(BH9,4)</f>
        <v>1111</v>
      </c>
      <c r="BI10" s="203"/>
      <c r="BJ10" s="203"/>
      <c r="BK10" s="203"/>
      <c r="BL10" s="203" t="str">
        <f t="shared" ref="BL10" si="17">HEX2BIN(BL9,4)</f>
        <v>1111</v>
      </c>
      <c r="BM10" s="203"/>
      <c r="BN10" s="203"/>
      <c r="BO10" s="203"/>
      <c r="BP10" s="204" t="str">
        <f t="shared" ref="BP10" si="18">HEX2BIN(BP9,4)</f>
        <v>1110</v>
      </c>
      <c r="BQ10" s="203"/>
      <c r="BR10" s="203"/>
      <c r="BS10" s="203"/>
      <c r="BT10" s="205" t="str">
        <f t="shared" ref="BT10" si="19">HEX2BIN(BT9,4)</f>
        <v>0001</v>
      </c>
      <c r="BU10" s="207"/>
      <c r="BV10" s="207"/>
      <c r="BW10" s="204"/>
      <c r="BX10" s="205" t="str">
        <f t="shared" ref="BX10" si="20">HEX2BIN(BX9,4)</f>
        <v>1110</v>
      </c>
      <c r="BY10" s="207"/>
      <c r="BZ10" s="207"/>
      <c r="CA10" s="204"/>
      <c r="CB10" s="205" t="str">
        <f t="shared" ref="CB10" si="21">HEX2BIN(CB9,4)</f>
        <v>1101</v>
      </c>
      <c r="CC10" s="207"/>
      <c r="CD10" s="207"/>
      <c r="CE10" s="204"/>
      <c r="CF10" s="205" t="str">
        <f t="shared" ref="CF10" si="22">HEX2BIN(CF9,4)</f>
        <v>0101</v>
      </c>
      <c r="CG10" s="207"/>
      <c r="CH10" s="207"/>
      <c r="CI10" s="204"/>
      <c r="CJ10" s="205" t="str">
        <f t="shared" ref="CJ10" si="23">HEX2BIN(CJ9,4)</f>
        <v>0110</v>
      </c>
      <c r="CK10" s="207"/>
      <c r="CL10" s="207"/>
      <c r="CM10" s="204"/>
      <c r="CN10" s="205" t="str">
        <f t="shared" ref="CN10" si="24">HEX2BIN(CN9,4)</f>
        <v>0111</v>
      </c>
      <c r="CO10" s="207"/>
      <c r="CP10" s="207"/>
      <c r="CQ10" s="204"/>
      <c r="CR10" s="205" t="str">
        <f t="shared" ref="CR10" si="25">HEX2BIN(CR9,4)</f>
        <v>1000</v>
      </c>
      <c r="CS10" s="207"/>
      <c r="CT10" s="207"/>
      <c r="CU10" s="204"/>
      <c r="CV10" s="205" t="str">
        <f t="shared" ref="CV10" si="26">HEX2BIN(CV9,4)</f>
        <v>1000</v>
      </c>
      <c r="CW10" s="207"/>
      <c r="CX10" s="207"/>
      <c r="CY10" s="204"/>
      <c r="CZ10" s="205" t="str">
        <f t="shared" ref="CZ10" si="27">HEX2BIN(CZ9,4)</f>
        <v>0110</v>
      </c>
      <c r="DA10" s="207"/>
      <c r="DB10" s="207"/>
      <c r="DC10" s="204"/>
      <c r="DD10" s="205" t="str">
        <f t="shared" ref="DD10" si="28">HEX2BIN(DD9,4)</f>
        <v>0101</v>
      </c>
      <c r="DE10" s="207"/>
      <c r="DF10" s="207"/>
      <c r="DG10" s="204"/>
      <c r="DH10" s="205" t="str">
        <f t="shared" ref="DH10" si="29">HEX2BIN(DH9,4)</f>
        <v>0100</v>
      </c>
      <c r="DI10" s="207"/>
      <c r="DJ10" s="207"/>
      <c r="DK10" s="204"/>
      <c r="DL10" s="205" t="str">
        <f t="shared" ref="DL10" si="30">HEX2BIN(DL9,4)</f>
        <v>0100</v>
      </c>
      <c r="DM10" s="207"/>
      <c r="DN10" s="207"/>
      <c r="DO10" s="204"/>
      <c r="DP10" s="205" t="str">
        <f t="shared" ref="DP10" si="31">HEX2BIN(DP9,4)</f>
        <v>0110</v>
      </c>
      <c r="DQ10" s="207"/>
      <c r="DR10" s="207"/>
      <c r="DS10" s="204"/>
      <c r="DT10" s="205" t="str">
        <f t="shared" ref="DT10" si="32">HEX2BIN(DT9,4)</f>
        <v>0111</v>
      </c>
      <c r="DU10" s="207"/>
      <c r="DV10" s="207"/>
      <c r="DW10" s="204"/>
      <c r="DX10" s="205" t="str">
        <f t="shared" ref="DX10" si="33">HEX2BIN(DX9,4)</f>
        <v>0111</v>
      </c>
      <c r="DY10" s="207"/>
      <c r="DZ10" s="207"/>
      <c r="EA10" s="204"/>
      <c r="EB10" s="205" t="str">
        <f t="shared" ref="EB10" si="34">HEX2BIN(EB9,4)</f>
        <v>0110</v>
      </c>
      <c r="EC10" s="207"/>
      <c r="ED10" s="207"/>
      <c r="EE10" s="204"/>
      <c r="EF10" s="205" t="str">
        <f t="shared" ref="EF10" si="35">HEX2BIN(EF9,4)</f>
        <v>1001</v>
      </c>
      <c r="EG10" s="207"/>
      <c r="EH10" s="207"/>
      <c r="EI10" s="204"/>
      <c r="EJ10" s="205" t="str">
        <f t="shared" ref="EJ10" si="36">HEX2BIN(EJ9,4)</f>
        <v>1000</v>
      </c>
      <c r="EK10" s="207"/>
      <c r="EL10" s="207"/>
      <c r="EM10" s="204"/>
      <c r="EN10" s="205" t="str">
        <f t="shared" ref="EN10" si="37">HEX2BIN(EN9,4)</f>
        <v>0111</v>
      </c>
      <c r="EO10" s="207"/>
      <c r="EP10" s="207"/>
      <c r="EQ10" s="204"/>
      <c r="ER10" s="205" t="str">
        <f t="shared" ref="ER10" si="38">HEX2BIN(ER9,4)</f>
        <v>0110</v>
      </c>
      <c r="ES10" s="207"/>
      <c r="ET10" s="207"/>
      <c r="EU10" s="204"/>
      <c r="EV10" s="205" t="str">
        <f t="shared" ref="EV10" si="39">HEX2BIN(EV9,4)</f>
        <v>0101</v>
      </c>
      <c r="EW10" s="207"/>
      <c r="EX10" s="207"/>
      <c r="EY10" s="204"/>
      <c r="EZ10" s="205" t="str">
        <f t="shared" ref="EZ10" si="40">HEX2BIN(EZ9,4)</f>
        <v>0100</v>
      </c>
      <c r="FA10" s="207"/>
      <c r="FB10" s="207"/>
      <c r="FC10" s="204"/>
      <c r="FD10" s="205" t="str">
        <f t="shared" ref="FD10" si="41">HEX2BIN(FD9,4)</f>
        <v>0011</v>
      </c>
      <c r="FE10" s="207"/>
      <c r="FF10" s="207"/>
      <c r="FG10" s="204"/>
      <c r="FH10" s="205" t="str">
        <f t="shared" ref="FH10" si="42">HEX2BIN(FH9,4)</f>
        <v>0101</v>
      </c>
      <c r="FI10" s="207"/>
      <c r="FJ10" s="207"/>
      <c r="FK10" s="204"/>
      <c r="FL10" s="205" t="str">
        <f t="shared" ref="FL10" si="43">HEX2BIN(FL9,4)</f>
        <v>0110</v>
      </c>
      <c r="FM10" s="207"/>
      <c r="FN10" s="207"/>
      <c r="FO10" s="204"/>
      <c r="FP10" s="205" t="str">
        <f t="shared" ref="FP10" si="44">HEX2BIN(FP9,4)</f>
        <v>0110</v>
      </c>
      <c r="FQ10" s="207"/>
      <c r="FR10" s="207"/>
      <c r="FS10" s="204"/>
      <c r="FT10" s="205" t="str">
        <f t="shared" ref="FT10" si="45">HEX2BIN(FT9,4)</f>
        <v>0111</v>
      </c>
      <c r="FU10" s="207"/>
      <c r="FV10" s="207"/>
      <c r="FW10" s="204"/>
      <c r="FX10" s="205" t="str">
        <f t="shared" ref="FX10" si="46">HEX2BIN(FX9,4)</f>
        <v>1000</v>
      </c>
      <c r="FY10" s="207"/>
      <c r="FZ10" s="207"/>
      <c r="GA10" s="204"/>
      <c r="GB10" s="205" t="str">
        <f t="shared" ref="GB10" si="47">HEX2BIN(GB9,4)</f>
        <v>1001</v>
      </c>
      <c r="GC10" s="207"/>
      <c r="GD10" s="207"/>
      <c r="GE10" s="204"/>
      <c r="GF10" s="205" t="str">
        <f t="shared" ref="GF10" si="48">HEX2BIN(GF9,4)</f>
        <v>1000</v>
      </c>
      <c r="GG10" s="207"/>
      <c r="GH10" s="207"/>
      <c r="GI10" s="204"/>
      <c r="GJ10" s="205" t="str">
        <f t="shared" ref="GJ10" si="49">HEX2BIN(GJ9,4)</f>
        <v>0111</v>
      </c>
      <c r="GK10" s="207"/>
      <c r="GL10" s="207"/>
      <c r="GM10" s="204"/>
      <c r="GN10" s="205" t="str">
        <f t="shared" ref="GN10" si="50">HEX2BIN(GN9,4)</f>
        <v>0110</v>
      </c>
      <c r="GO10" s="207"/>
      <c r="GP10" s="207"/>
      <c r="GQ10" s="204"/>
      <c r="GR10" s="205" t="str">
        <f t="shared" ref="GR10" si="51">HEX2BIN(GR9,4)</f>
        <v>0101</v>
      </c>
      <c r="GS10" s="207"/>
      <c r="GT10" s="207"/>
      <c r="GU10" s="204"/>
      <c r="GV10" s="205" t="str">
        <f t="shared" ref="GV10" si="52">HEX2BIN(GV9,4)</f>
        <v>0100</v>
      </c>
      <c r="GW10" s="207"/>
      <c r="GX10" s="207"/>
      <c r="GY10" s="204"/>
      <c r="GZ10" s="205" t="str">
        <f t="shared" ref="GZ10" si="53">HEX2BIN(GZ9,4)</f>
        <v>0011</v>
      </c>
      <c r="HA10" s="207"/>
      <c r="HB10" s="207"/>
      <c r="HC10" s="204"/>
      <c r="HD10" s="205" t="str">
        <f t="shared" ref="HD10" si="54">HEX2BIN(HD9,4)</f>
        <v>1000</v>
      </c>
      <c r="HE10" s="207"/>
      <c r="HF10" s="207"/>
      <c r="HG10" s="204"/>
      <c r="HH10" s="205" t="str">
        <f t="shared" ref="HH10" si="55">HEX2BIN(HH9,4)</f>
        <v>0111</v>
      </c>
      <c r="HI10" s="207"/>
      <c r="HJ10" s="207"/>
      <c r="HK10" s="204"/>
      <c r="HL10" s="205" t="str">
        <f t="shared" ref="HL10" si="56">HEX2BIN(HL9,4)</f>
        <v>0110</v>
      </c>
      <c r="HM10" s="207"/>
      <c r="HN10" s="207"/>
      <c r="HO10" s="204"/>
      <c r="HP10" s="205" t="str">
        <f t="shared" ref="HP10" si="57">HEX2BIN(HP9,4)</f>
        <v>0110</v>
      </c>
      <c r="HQ10" s="207"/>
      <c r="HR10" s="207"/>
      <c r="HS10" s="204"/>
      <c r="HT10" s="205" t="str">
        <f t="shared" ref="HT10" si="58">HEX2BIN(HT9,4)</f>
        <v>0101</v>
      </c>
      <c r="HU10" s="207"/>
      <c r="HV10" s="207"/>
      <c r="HW10" s="204"/>
      <c r="HX10" s="205" t="str">
        <f t="shared" ref="HX10" si="59">HEX2BIN(HX9,4)</f>
        <v>0100</v>
      </c>
      <c r="HY10" s="207"/>
      <c r="HZ10" s="207"/>
      <c r="IA10" s="204"/>
      <c r="IB10" s="205" t="str">
        <f t="shared" ref="IB10" si="60">HEX2BIN(IB9,4)</f>
        <v>0011</v>
      </c>
      <c r="IC10" s="207"/>
      <c r="ID10" s="207"/>
      <c r="IE10" s="204"/>
      <c r="IF10" s="205" t="str">
        <f t="shared" ref="IF10" si="61">HEX2BIN(IF9,4)</f>
        <v>0001</v>
      </c>
      <c r="IG10" s="207"/>
      <c r="IH10" s="207"/>
      <c r="II10" s="204"/>
      <c r="IJ10" s="205" t="str">
        <f t="shared" ref="IJ10" si="62">HEX2BIN(IJ9,4)</f>
        <v>0010</v>
      </c>
      <c r="IK10" s="207"/>
      <c r="IL10" s="207"/>
      <c r="IM10" s="204"/>
      <c r="IN10" s="205" t="str">
        <f t="shared" ref="IN10" si="63">HEX2BIN(IN9,4)</f>
        <v>0010</v>
      </c>
      <c r="IO10" s="207"/>
      <c r="IP10" s="207"/>
      <c r="IQ10" s="204"/>
      <c r="IR10" s="205" t="str">
        <f t="shared" ref="IR10" si="64">HEX2BIN(IR9,4)</f>
        <v>0011</v>
      </c>
      <c r="IS10" s="207"/>
      <c r="IT10" s="207"/>
      <c r="IU10" s="204"/>
      <c r="IV10" s="205" t="str">
        <f t="shared" ref="IV10" si="65">HEX2BIN(IV9,4)</f>
        <v>0101</v>
      </c>
      <c r="IW10" s="207"/>
      <c r="IX10" s="207"/>
      <c r="IY10" s="208"/>
      <c r="IZ10" t="s">
        <v>227</v>
      </c>
    </row>
    <row r="11" spans="1:260" ht="14.4" thickBot="1">
      <c r="B11" t="s">
        <v>238</v>
      </c>
      <c r="D11" s="148" t="str">
        <f>LEFT(D10,1)</f>
        <v>1</v>
      </c>
      <c r="E11" s="149" t="str">
        <f>RIGHT(LEFT(D10,2),1)</f>
        <v>1</v>
      </c>
      <c r="F11" s="149" t="str">
        <f>RIGHT(LEFT(D10,3),1)</f>
        <v>0</v>
      </c>
      <c r="G11" s="149" t="str">
        <f>RIGHT(LEFT(D10,4),1)</f>
        <v>1</v>
      </c>
      <c r="H11" s="149" t="str">
        <f>LEFT(H10,1)</f>
        <v>0</v>
      </c>
      <c r="I11" s="149" t="str">
        <f>RIGHT(LEFT(H10,2),1)</f>
        <v>1</v>
      </c>
      <c r="J11" s="149" t="str">
        <f>RIGHT(LEFT(H10,3),1)</f>
        <v>0</v>
      </c>
      <c r="K11" s="150" t="str">
        <f>RIGHT(LEFT(H10,4),1)</f>
        <v>1</v>
      </c>
      <c r="L11" s="149" t="str">
        <f>LEFT(L10,1)</f>
        <v>1</v>
      </c>
      <c r="M11" s="149" t="str">
        <f>RIGHT(LEFT(L10,2),1)</f>
        <v>0</v>
      </c>
      <c r="N11" s="149" t="str">
        <f>RIGHT(LEFT(L10,3),1)</f>
        <v>0</v>
      </c>
      <c r="O11" s="150" t="str">
        <f>RIGHT(LEFT(L10,4),1)</f>
        <v>0</v>
      </c>
      <c r="P11" s="149" t="str">
        <f>LEFT(P10,1)</f>
        <v>1</v>
      </c>
      <c r="Q11" s="149" t="str">
        <f>RIGHT(LEFT(P10,2),1)</f>
        <v>0</v>
      </c>
      <c r="R11" s="149" t="str">
        <f>RIGHT(LEFT(P10,3),1)</f>
        <v>0</v>
      </c>
      <c r="S11" s="149" t="str">
        <f>RIGHT(LEFT(P10,4),1)</f>
        <v>1</v>
      </c>
      <c r="T11" s="151" t="str">
        <f>LEFT(T10,1)</f>
        <v>1</v>
      </c>
      <c r="U11" s="149" t="str">
        <f>RIGHT(LEFT(T10,2),1)</f>
        <v>1</v>
      </c>
      <c r="V11" s="149" t="str">
        <f>RIGHT(LEFT(T10,3),1)</f>
        <v>0</v>
      </c>
      <c r="W11" s="149" t="str">
        <f>RIGHT(LEFT(T10,4),1)</f>
        <v>1</v>
      </c>
      <c r="X11" s="149" t="str">
        <f>LEFT(X10,1)</f>
        <v>1</v>
      </c>
      <c r="Y11" s="149" t="str">
        <f>RIGHT(LEFT(X10,2),1)</f>
        <v>1</v>
      </c>
      <c r="Z11" s="149" t="str">
        <f>RIGHT(LEFT(X10,3),1)</f>
        <v>1</v>
      </c>
      <c r="AA11" s="150" t="str">
        <f>RIGHT(LEFT(X10,4),1)</f>
        <v>1</v>
      </c>
      <c r="AB11" s="148" t="str">
        <f>LEFT(AB10,1)</f>
        <v>1</v>
      </c>
      <c r="AC11" s="149" t="str">
        <f>RIGHT(LEFT(AB10,2),1)</f>
        <v>1</v>
      </c>
      <c r="AD11" s="149" t="str">
        <f>RIGHT(LEFT(AB10,3),1)</f>
        <v>1</v>
      </c>
      <c r="AE11" s="149" t="str">
        <f>RIGHT(LEFT(AB10,4),1)</f>
        <v>1</v>
      </c>
      <c r="AF11" s="149" t="str">
        <f>LEFT(AF10,1)</f>
        <v>1</v>
      </c>
      <c r="AG11" s="149" t="str">
        <f>RIGHT(LEFT(AF10,2),1)</f>
        <v>1</v>
      </c>
      <c r="AH11" s="149" t="str">
        <f>RIGHT(LEFT(AF10,3),1)</f>
        <v>1</v>
      </c>
      <c r="AI11" s="152" t="str">
        <f>RIGHT(LEFT(AF10,4),1)</f>
        <v>1</v>
      </c>
      <c r="AJ11" s="148" t="str">
        <f>LEFT(AJ10,1)</f>
        <v>1</v>
      </c>
      <c r="AK11" s="149" t="str">
        <f>RIGHT(LEFT(AJ10,2),1)</f>
        <v>1</v>
      </c>
      <c r="AL11" s="149" t="str">
        <f>RIGHT(LEFT(AJ10,3),1)</f>
        <v>1</v>
      </c>
      <c r="AM11" s="149" t="str">
        <f>RIGHT(LEFT(AJ10,4),1)</f>
        <v>1</v>
      </c>
      <c r="AN11" s="149" t="str">
        <f>LEFT(AN10,1)</f>
        <v>1</v>
      </c>
      <c r="AO11" s="149" t="str">
        <f>RIGHT(LEFT(AN10,2),1)</f>
        <v>1</v>
      </c>
      <c r="AP11" s="149" t="str">
        <f>RIGHT(LEFT(AN10,3),1)</f>
        <v>1</v>
      </c>
      <c r="AQ11" s="152" t="str">
        <f>RIGHT(LEFT(AN10,4),1)</f>
        <v>1</v>
      </c>
      <c r="AR11" s="148" t="str">
        <f>LEFT(AR10,1)</f>
        <v>1</v>
      </c>
      <c r="AS11" s="149" t="str">
        <f>RIGHT(LEFT(AR10,2),1)</f>
        <v>1</v>
      </c>
      <c r="AT11" s="149" t="str">
        <f>RIGHT(LEFT(AR10,3),1)</f>
        <v>1</v>
      </c>
      <c r="AU11" s="149" t="str">
        <f>RIGHT(LEFT(AR10,4),1)</f>
        <v>1</v>
      </c>
      <c r="AV11" s="149" t="str">
        <f>LEFT(AV10,1)</f>
        <v>1</v>
      </c>
      <c r="AW11" s="149" t="str">
        <f>RIGHT(LEFT(AV10,2),1)</f>
        <v>1</v>
      </c>
      <c r="AX11" s="149" t="str">
        <f>RIGHT(LEFT(AV10,3),1)</f>
        <v>1</v>
      </c>
      <c r="AY11" s="152" t="str">
        <f>RIGHT(LEFT(AV10,4),1)</f>
        <v>1</v>
      </c>
      <c r="AZ11" s="148" t="str">
        <f>LEFT(AZ10,1)</f>
        <v>1</v>
      </c>
      <c r="BA11" s="149" t="str">
        <f>RIGHT(LEFT(AZ10,2),1)</f>
        <v>1</v>
      </c>
      <c r="BB11" s="149" t="str">
        <f>RIGHT(LEFT(AZ10,3),1)</f>
        <v>1</v>
      </c>
      <c r="BC11" s="149" t="str">
        <f>RIGHT(LEFT(AZ10,4),1)</f>
        <v>1</v>
      </c>
      <c r="BD11" s="149" t="str">
        <f>LEFT(BD10,1)</f>
        <v>1</v>
      </c>
      <c r="BE11" s="149" t="str">
        <f>RIGHT(LEFT(BD10,2),1)</f>
        <v>1</v>
      </c>
      <c r="BF11" s="149" t="str">
        <f>RIGHT(LEFT(BD10,3),1)</f>
        <v>1</v>
      </c>
      <c r="BG11" s="152" t="str">
        <f>RIGHT(LEFT(BD10,4),1)</f>
        <v>1</v>
      </c>
      <c r="BH11" s="148" t="str">
        <f>LEFT(BH10,1)</f>
        <v>1</v>
      </c>
      <c r="BI11" s="149" t="str">
        <f>RIGHT(LEFT(BH10,2),1)</f>
        <v>1</v>
      </c>
      <c r="BJ11" s="149" t="str">
        <f>RIGHT(LEFT(BH10,3),1)</f>
        <v>1</v>
      </c>
      <c r="BK11" s="149" t="str">
        <f>RIGHT(LEFT(BH10,4),1)</f>
        <v>1</v>
      </c>
      <c r="BL11" s="149" t="str">
        <f>LEFT(BL10,1)</f>
        <v>1</v>
      </c>
      <c r="BM11" s="149" t="str">
        <f>RIGHT(LEFT(BL10,2),1)</f>
        <v>1</v>
      </c>
      <c r="BN11" s="149" t="str">
        <f>RIGHT(LEFT(BL10,3),1)</f>
        <v>1</v>
      </c>
      <c r="BO11" s="149" t="str">
        <f>RIGHT(LEFT(BL10,4),1)</f>
        <v>1</v>
      </c>
      <c r="BP11" s="151" t="str">
        <f>LEFT(BP10,1)</f>
        <v>1</v>
      </c>
      <c r="BQ11" s="149" t="str">
        <f>RIGHT(LEFT(BP10,2),1)</f>
        <v>1</v>
      </c>
      <c r="BR11" s="149" t="str">
        <f>RIGHT(LEFT(BP10,3),1)</f>
        <v>1</v>
      </c>
      <c r="BS11" s="149" t="str">
        <f>RIGHT(LEFT(BP10,4),1)</f>
        <v>0</v>
      </c>
      <c r="BT11" s="151" t="str">
        <f>LEFT(BT10,1)</f>
        <v>0</v>
      </c>
      <c r="BU11" s="149" t="str">
        <f>RIGHT(LEFT(BT10,2),1)</f>
        <v>0</v>
      </c>
      <c r="BV11" s="149" t="str">
        <f>RIGHT(LEFT(BT10,3),1)</f>
        <v>0</v>
      </c>
      <c r="BW11" s="149" t="str">
        <f>RIGHT(LEFT(BT10,4),1)</f>
        <v>1</v>
      </c>
      <c r="BX11" s="151" t="str">
        <f>LEFT(BX10,1)</f>
        <v>1</v>
      </c>
      <c r="BY11" s="149" t="str">
        <f>RIGHT(LEFT(BX10,2),1)</f>
        <v>1</v>
      </c>
      <c r="BZ11" s="149" t="str">
        <f>RIGHT(LEFT(BX10,3),1)</f>
        <v>1</v>
      </c>
      <c r="CA11" s="149" t="str">
        <f>RIGHT(LEFT(BX10,4),1)</f>
        <v>0</v>
      </c>
      <c r="CB11" s="151" t="str">
        <f>LEFT(CB10,1)</f>
        <v>1</v>
      </c>
      <c r="CC11" s="149" t="str">
        <f>RIGHT(LEFT(CB10,2),1)</f>
        <v>1</v>
      </c>
      <c r="CD11" s="149" t="str">
        <f>RIGHT(LEFT(CB10,3),1)</f>
        <v>0</v>
      </c>
      <c r="CE11" s="149" t="str">
        <f>RIGHT(LEFT(CB10,4),1)</f>
        <v>1</v>
      </c>
      <c r="CF11" s="151" t="str">
        <f>LEFT(CF10,1)</f>
        <v>0</v>
      </c>
      <c r="CG11" s="149" t="str">
        <f>RIGHT(LEFT(CF10,2),1)</f>
        <v>1</v>
      </c>
      <c r="CH11" s="149" t="str">
        <f>RIGHT(LEFT(CF10,3),1)</f>
        <v>0</v>
      </c>
      <c r="CI11" s="149" t="str">
        <f>RIGHT(LEFT(CF10,4),1)</f>
        <v>1</v>
      </c>
      <c r="CJ11" s="151" t="str">
        <f>LEFT(CJ10,1)</f>
        <v>0</v>
      </c>
      <c r="CK11" s="149" t="str">
        <f>RIGHT(LEFT(CJ10,2),1)</f>
        <v>1</v>
      </c>
      <c r="CL11" s="149" t="str">
        <f>RIGHT(LEFT(CJ10,3),1)</f>
        <v>1</v>
      </c>
      <c r="CM11" s="149" t="str">
        <f>RIGHT(LEFT(CJ10,4),1)</f>
        <v>0</v>
      </c>
      <c r="CN11" s="151" t="str">
        <f>LEFT(CN10,1)</f>
        <v>0</v>
      </c>
      <c r="CO11" s="149" t="str">
        <f>RIGHT(LEFT(CN10,2),1)</f>
        <v>1</v>
      </c>
      <c r="CP11" s="149" t="str">
        <f>RIGHT(LEFT(CN10,3),1)</f>
        <v>1</v>
      </c>
      <c r="CQ11" s="149" t="str">
        <f>RIGHT(LEFT(CN10,4),1)</f>
        <v>1</v>
      </c>
      <c r="CR11" s="151" t="str">
        <f>LEFT(CR10,1)</f>
        <v>1</v>
      </c>
      <c r="CS11" s="149" t="str">
        <f>RIGHT(LEFT(CR10,2),1)</f>
        <v>0</v>
      </c>
      <c r="CT11" s="149" t="str">
        <f>RIGHT(LEFT(CR10,3),1)</f>
        <v>0</v>
      </c>
      <c r="CU11" s="149" t="str">
        <f>RIGHT(LEFT(CR10,4),1)</f>
        <v>0</v>
      </c>
      <c r="CV11" s="151" t="str">
        <f>LEFT(CV10,1)</f>
        <v>1</v>
      </c>
      <c r="CW11" s="149" t="str">
        <f>RIGHT(LEFT(CV10,2),1)</f>
        <v>0</v>
      </c>
      <c r="CX11" s="149" t="str">
        <f>RIGHT(LEFT(CV10,3),1)</f>
        <v>0</v>
      </c>
      <c r="CY11" s="149" t="str">
        <f>RIGHT(LEFT(CV10,4),1)</f>
        <v>0</v>
      </c>
      <c r="CZ11" s="151" t="str">
        <f>LEFT(CZ10,1)</f>
        <v>0</v>
      </c>
      <c r="DA11" s="149" t="str">
        <f>RIGHT(LEFT(CZ10,2),1)</f>
        <v>1</v>
      </c>
      <c r="DB11" s="149" t="str">
        <f>RIGHT(LEFT(CZ10,3),1)</f>
        <v>1</v>
      </c>
      <c r="DC11" s="149" t="str">
        <f>RIGHT(LEFT(CZ10,4),1)</f>
        <v>0</v>
      </c>
      <c r="DD11" s="151" t="str">
        <f>LEFT(DD10,1)</f>
        <v>0</v>
      </c>
      <c r="DE11" s="149" t="str">
        <f>RIGHT(LEFT(DD10,2),1)</f>
        <v>1</v>
      </c>
      <c r="DF11" s="149" t="str">
        <f>RIGHT(LEFT(DD10,3),1)</f>
        <v>0</v>
      </c>
      <c r="DG11" s="149" t="str">
        <f>RIGHT(LEFT(DD10,4),1)</f>
        <v>1</v>
      </c>
      <c r="DH11" s="151" t="str">
        <f>LEFT(DH10,1)</f>
        <v>0</v>
      </c>
      <c r="DI11" s="149" t="str">
        <f>RIGHT(LEFT(DH10,2),1)</f>
        <v>1</v>
      </c>
      <c r="DJ11" s="149" t="str">
        <f>RIGHT(LEFT(DH10,3),1)</f>
        <v>0</v>
      </c>
      <c r="DK11" s="149" t="str">
        <f>RIGHT(LEFT(DH10,4),1)</f>
        <v>0</v>
      </c>
      <c r="DL11" s="151" t="str">
        <f>LEFT(DL10,1)</f>
        <v>0</v>
      </c>
      <c r="DM11" s="149" t="str">
        <f>RIGHT(LEFT(DL10,2),1)</f>
        <v>1</v>
      </c>
      <c r="DN11" s="149" t="str">
        <f>RIGHT(LEFT(DL10,3),1)</f>
        <v>0</v>
      </c>
      <c r="DO11" s="149" t="str">
        <f>RIGHT(LEFT(DL10,4),1)</f>
        <v>0</v>
      </c>
      <c r="DP11" s="151" t="str">
        <f>LEFT(DP10,1)</f>
        <v>0</v>
      </c>
      <c r="DQ11" s="149" t="str">
        <f>RIGHT(LEFT(DP10,2),1)</f>
        <v>1</v>
      </c>
      <c r="DR11" s="149" t="str">
        <f>RIGHT(LEFT(DP10,3),1)</f>
        <v>1</v>
      </c>
      <c r="DS11" s="149" t="str">
        <f>RIGHT(LEFT(DP10,4),1)</f>
        <v>0</v>
      </c>
      <c r="DT11" s="151" t="str">
        <f>LEFT(DT10,1)</f>
        <v>0</v>
      </c>
      <c r="DU11" s="149" t="str">
        <f>RIGHT(LEFT(DT10,2),1)</f>
        <v>1</v>
      </c>
      <c r="DV11" s="149" t="str">
        <f>RIGHT(LEFT(DT10,3),1)</f>
        <v>1</v>
      </c>
      <c r="DW11" s="149" t="str">
        <f>RIGHT(LEFT(DT10,4),1)</f>
        <v>1</v>
      </c>
      <c r="DX11" s="151" t="str">
        <f>LEFT(DX10,1)</f>
        <v>0</v>
      </c>
      <c r="DY11" s="149" t="str">
        <f>RIGHT(LEFT(DX10,2),1)</f>
        <v>1</v>
      </c>
      <c r="DZ11" s="149" t="str">
        <f>RIGHT(LEFT(DX10,3),1)</f>
        <v>1</v>
      </c>
      <c r="EA11" s="149" t="str">
        <f>RIGHT(LEFT(DX10,4),1)</f>
        <v>1</v>
      </c>
      <c r="EB11" s="151" t="str">
        <f>LEFT(EB10,1)</f>
        <v>0</v>
      </c>
      <c r="EC11" s="149" t="str">
        <f>RIGHT(LEFT(EB10,2),1)</f>
        <v>1</v>
      </c>
      <c r="ED11" s="149" t="str">
        <f>RIGHT(LEFT(EB10,3),1)</f>
        <v>1</v>
      </c>
      <c r="EE11" s="149" t="str">
        <f>RIGHT(LEFT(EB10,4),1)</f>
        <v>0</v>
      </c>
      <c r="EF11" s="151" t="str">
        <f>LEFT(EF10,1)</f>
        <v>1</v>
      </c>
      <c r="EG11" s="149" t="str">
        <f>RIGHT(LEFT(EF10,2),1)</f>
        <v>0</v>
      </c>
      <c r="EH11" s="149" t="str">
        <f>RIGHT(LEFT(EF10,3),1)</f>
        <v>0</v>
      </c>
      <c r="EI11" s="149" t="str">
        <f>RIGHT(LEFT(EF10,4),1)</f>
        <v>1</v>
      </c>
      <c r="EJ11" s="151" t="str">
        <f>LEFT(EJ10,1)</f>
        <v>1</v>
      </c>
      <c r="EK11" s="149" t="str">
        <f>RIGHT(LEFT(EJ10,2),1)</f>
        <v>0</v>
      </c>
      <c r="EL11" s="149" t="str">
        <f>RIGHT(LEFT(EJ10,3),1)</f>
        <v>0</v>
      </c>
      <c r="EM11" s="149" t="str">
        <f>RIGHT(LEFT(EJ10,4),1)</f>
        <v>0</v>
      </c>
      <c r="EN11" s="151" t="str">
        <f>LEFT(EN10,1)</f>
        <v>0</v>
      </c>
      <c r="EO11" s="149" t="str">
        <f>RIGHT(LEFT(EN10,2),1)</f>
        <v>1</v>
      </c>
      <c r="EP11" s="149" t="str">
        <f>RIGHT(LEFT(EN10,3),1)</f>
        <v>1</v>
      </c>
      <c r="EQ11" s="149" t="str">
        <f>RIGHT(LEFT(EN10,4),1)</f>
        <v>1</v>
      </c>
      <c r="ER11" s="151" t="str">
        <f>LEFT(ER10,1)</f>
        <v>0</v>
      </c>
      <c r="ES11" s="149" t="str">
        <f>RIGHT(LEFT(ER10,2),1)</f>
        <v>1</v>
      </c>
      <c r="ET11" s="149" t="str">
        <f>RIGHT(LEFT(ER10,3),1)</f>
        <v>1</v>
      </c>
      <c r="EU11" s="149" t="str">
        <f>RIGHT(LEFT(ER10,4),1)</f>
        <v>0</v>
      </c>
      <c r="EV11" s="151" t="str">
        <f>LEFT(EV10,1)</f>
        <v>0</v>
      </c>
      <c r="EW11" s="149" t="str">
        <f>RIGHT(LEFT(EV10,2),1)</f>
        <v>1</v>
      </c>
      <c r="EX11" s="149" t="str">
        <f>RIGHT(LEFT(EV10,3),1)</f>
        <v>0</v>
      </c>
      <c r="EY11" s="149" t="str">
        <f>RIGHT(LEFT(EV10,4),1)</f>
        <v>1</v>
      </c>
      <c r="EZ11" s="151" t="str">
        <f>LEFT(EZ10,1)</f>
        <v>0</v>
      </c>
      <c r="FA11" s="149" t="str">
        <f>RIGHT(LEFT(EZ10,2),1)</f>
        <v>1</v>
      </c>
      <c r="FB11" s="149" t="str">
        <f>RIGHT(LEFT(EZ10,3),1)</f>
        <v>0</v>
      </c>
      <c r="FC11" s="149" t="str">
        <f>RIGHT(LEFT(EZ10,4),1)</f>
        <v>0</v>
      </c>
      <c r="FD11" s="151" t="str">
        <f>LEFT(FD10,1)</f>
        <v>0</v>
      </c>
      <c r="FE11" s="149" t="str">
        <f>RIGHT(LEFT(FD10,2),1)</f>
        <v>0</v>
      </c>
      <c r="FF11" s="149" t="str">
        <f>RIGHT(LEFT(FD10,3),1)</f>
        <v>1</v>
      </c>
      <c r="FG11" s="149" t="str">
        <f>RIGHT(LEFT(FD10,4),1)</f>
        <v>1</v>
      </c>
      <c r="FH11" s="151" t="str">
        <f>LEFT(FH10,1)</f>
        <v>0</v>
      </c>
      <c r="FI11" s="149" t="str">
        <f>RIGHT(LEFT(FH10,2),1)</f>
        <v>1</v>
      </c>
      <c r="FJ11" s="149" t="str">
        <f>RIGHT(LEFT(FH10,3),1)</f>
        <v>0</v>
      </c>
      <c r="FK11" s="149" t="str">
        <f>RIGHT(LEFT(FH10,4),1)</f>
        <v>1</v>
      </c>
      <c r="FL11" s="151" t="str">
        <f>LEFT(FL10,1)</f>
        <v>0</v>
      </c>
      <c r="FM11" s="149" t="str">
        <f>RIGHT(LEFT(FL10,2),1)</f>
        <v>1</v>
      </c>
      <c r="FN11" s="149" t="str">
        <f>RIGHT(LEFT(FL10,3),1)</f>
        <v>1</v>
      </c>
      <c r="FO11" s="149" t="str">
        <f>RIGHT(LEFT(FL10,4),1)</f>
        <v>0</v>
      </c>
      <c r="FP11" s="151" t="str">
        <f>LEFT(FP10,1)</f>
        <v>0</v>
      </c>
      <c r="FQ11" s="149" t="str">
        <f>RIGHT(LEFT(FP10,2),1)</f>
        <v>1</v>
      </c>
      <c r="FR11" s="149" t="str">
        <f>RIGHT(LEFT(FP10,3),1)</f>
        <v>1</v>
      </c>
      <c r="FS11" s="149" t="str">
        <f>RIGHT(LEFT(FP10,4),1)</f>
        <v>0</v>
      </c>
      <c r="FT11" s="151" t="str">
        <f>LEFT(FT10,1)</f>
        <v>0</v>
      </c>
      <c r="FU11" s="149" t="str">
        <f>RIGHT(LEFT(FT10,2),1)</f>
        <v>1</v>
      </c>
      <c r="FV11" s="149" t="str">
        <f>RIGHT(LEFT(FT10,3),1)</f>
        <v>1</v>
      </c>
      <c r="FW11" s="149" t="str">
        <f>RIGHT(LEFT(FT10,4),1)</f>
        <v>1</v>
      </c>
      <c r="FX11" s="151" t="str">
        <f>LEFT(FX10,1)</f>
        <v>1</v>
      </c>
      <c r="FY11" s="149" t="str">
        <f>RIGHT(LEFT(FX10,2),1)</f>
        <v>0</v>
      </c>
      <c r="FZ11" s="149" t="str">
        <f>RIGHT(LEFT(FX10,3),1)</f>
        <v>0</v>
      </c>
      <c r="GA11" s="149" t="str">
        <f>RIGHT(LEFT(FX10,4),1)</f>
        <v>0</v>
      </c>
      <c r="GB11" s="151" t="str">
        <f>LEFT(GB10,1)</f>
        <v>1</v>
      </c>
      <c r="GC11" s="149" t="str">
        <f>RIGHT(LEFT(GB10,2),1)</f>
        <v>0</v>
      </c>
      <c r="GD11" s="149" t="str">
        <f>RIGHT(LEFT(GB10,3),1)</f>
        <v>0</v>
      </c>
      <c r="GE11" s="149" t="str">
        <f>RIGHT(LEFT(GB10,4),1)</f>
        <v>1</v>
      </c>
      <c r="GF11" s="151" t="str">
        <f>LEFT(GF10,1)</f>
        <v>1</v>
      </c>
      <c r="GG11" s="149" t="str">
        <f>RIGHT(LEFT(GF10,2),1)</f>
        <v>0</v>
      </c>
      <c r="GH11" s="149" t="str">
        <f>RIGHT(LEFT(GF10,3),1)</f>
        <v>0</v>
      </c>
      <c r="GI11" s="149" t="str">
        <f>RIGHT(LEFT(GF10,4),1)</f>
        <v>0</v>
      </c>
      <c r="GJ11" s="151" t="str">
        <f>LEFT(GJ10,1)</f>
        <v>0</v>
      </c>
      <c r="GK11" s="149" t="str">
        <f>RIGHT(LEFT(GJ10,2),1)</f>
        <v>1</v>
      </c>
      <c r="GL11" s="149" t="str">
        <f>RIGHT(LEFT(GJ10,3),1)</f>
        <v>1</v>
      </c>
      <c r="GM11" s="149" t="str">
        <f>RIGHT(LEFT(GJ10,4),1)</f>
        <v>1</v>
      </c>
      <c r="GN11" s="151" t="str">
        <f>LEFT(GN10,1)</f>
        <v>0</v>
      </c>
      <c r="GO11" s="149" t="str">
        <f>RIGHT(LEFT(GN10,2),1)</f>
        <v>1</v>
      </c>
      <c r="GP11" s="149" t="str">
        <f>RIGHT(LEFT(GN10,3),1)</f>
        <v>1</v>
      </c>
      <c r="GQ11" s="149" t="str">
        <f>RIGHT(LEFT(GN10,4),1)</f>
        <v>0</v>
      </c>
      <c r="GR11" s="151" t="str">
        <f>LEFT(GR10,1)</f>
        <v>0</v>
      </c>
      <c r="GS11" s="149" t="str">
        <f>RIGHT(LEFT(GR10,2),1)</f>
        <v>1</v>
      </c>
      <c r="GT11" s="149" t="str">
        <f>RIGHT(LEFT(GR10,3),1)</f>
        <v>0</v>
      </c>
      <c r="GU11" s="149" t="str">
        <f>RIGHT(LEFT(GR10,4),1)</f>
        <v>1</v>
      </c>
      <c r="GV11" s="151" t="str">
        <f>LEFT(GV10,1)</f>
        <v>0</v>
      </c>
      <c r="GW11" s="149" t="str">
        <f>RIGHT(LEFT(GV10,2),1)</f>
        <v>1</v>
      </c>
      <c r="GX11" s="149" t="str">
        <f>RIGHT(LEFT(GV10,3),1)</f>
        <v>0</v>
      </c>
      <c r="GY11" s="149" t="str">
        <f>RIGHT(LEFT(GV10,4),1)</f>
        <v>0</v>
      </c>
      <c r="GZ11" s="151" t="str">
        <f>LEFT(GZ10,1)</f>
        <v>0</v>
      </c>
      <c r="HA11" s="149" t="str">
        <f>RIGHT(LEFT(GZ10,2),1)</f>
        <v>0</v>
      </c>
      <c r="HB11" s="149" t="str">
        <f>RIGHT(LEFT(GZ10,3),1)</f>
        <v>1</v>
      </c>
      <c r="HC11" s="149" t="str">
        <f>RIGHT(LEFT(GZ10,4),1)</f>
        <v>1</v>
      </c>
      <c r="HD11" s="151" t="str">
        <f>LEFT(HD10,1)</f>
        <v>1</v>
      </c>
      <c r="HE11" s="149" t="str">
        <f>RIGHT(LEFT(HD10,2),1)</f>
        <v>0</v>
      </c>
      <c r="HF11" s="149" t="str">
        <f>RIGHT(LEFT(HD10,3),1)</f>
        <v>0</v>
      </c>
      <c r="HG11" s="149" t="str">
        <f>RIGHT(LEFT(HD10,4),1)</f>
        <v>0</v>
      </c>
      <c r="HH11" s="151" t="str">
        <f>LEFT(HH10,1)</f>
        <v>0</v>
      </c>
      <c r="HI11" s="149" t="str">
        <f>RIGHT(LEFT(HH10,2),1)</f>
        <v>1</v>
      </c>
      <c r="HJ11" s="149" t="str">
        <f>RIGHT(LEFT(HH10,3),1)</f>
        <v>1</v>
      </c>
      <c r="HK11" s="149" t="str">
        <f>RIGHT(LEFT(HH10,4),1)</f>
        <v>1</v>
      </c>
      <c r="HL11" s="151" t="str">
        <f>LEFT(HL10,1)</f>
        <v>0</v>
      </c>
      <c r="HM11" s="149" t="str">
        <f>RIGHT(LEFT(HL10,2),1)</f>
        <v>1</v>
      </c>
      <c r="HN11" s="149" t="str">
        <f>RIGHT(LEFT(HL10,3),1)</f>
        <v>1</v>
      </c>
      <c r="HO11" s="149" t="str">
        <f>RIGHT(LEFT(HL10,4),1)</f>
        <v>0</v>
      </c>
      <c r="HP11" s="151" t="str">
        <f>LEFT(HP10,1)</f>
        <v>0</v>
      </c>
      <c r="HQ11" s="149" t="str">
        <f>RIGHT(LEFT(HP10,2),1)</f>
        <v>1</v>
      </c>
      <c r="HR11" s="149" t="str">
        <f>RIGHT(LEFT(HP10,3),1)</f>
        <v>1</v>
      </c>
      <c r="HS11" s="149" t="str">
        <f>RIGHT(LEFT(HP10,4),1)</f>
        <v>0</v>
      </c>
      <c r="HT11" s="151" t="str">
        <f>LEFT(HT10,1)</f>
        <v>0</v>
      </c>
      <c r="HU11" s="149" t="str">
        <f>RIGHT(LEFT(HT10,2),1)</f>
        <v>1</v>
      </c>
      <c r="HV11" s="149" t="str">
        <f>RIGHT(LEFT(HT10,3),1)</f>
        <v>0</v>
      </c>
      <c r="HW11" s="149" t="str">
        <f>RIGHT(LEFT(HT10,4),1)</f>
        <v>1</v>
      </c>
      <c r="HX11" s="151" t="str">
        <f>LEFT(HX10,1)</f>
        <v>0</v>
      </c>
      <c r="HY11" s="149" t="str">
        <f>RIGHT(LEFT(HX10,2),1)</f>
        <v>1</v>
      </c>
      <c r="HZ11" s="149" t="str">
        <f>RIGHT(LEFT(HX10,3),1)</f>
        <v>0</v>
      </c>
      <c r="IA11" s="149" t="str">
        <f>RIGHT(LEFT(HX10,4),1)</f>
        <v>0</v>
      </c>
      <c r="IB11" s="151" t="str">
        <f>LEFT(IB10,1)</f>
        <v>0</v>
      </c>
      <c r="IC11" s="149" t="str">
        <f>RIGHT(LEFT(IB10,2),1)</f>
        <v>0</v>
      </c>
      <c r="ID11" s="149" t="str">
        <f>RIGHT(LEFT(IB10,3),1)</f>
        <v>1</v>
      </c>
      <c r="IE11" s="149" t="str">
        <f>RIGHT(LEFT(IB10,4),1)</f>
        <v>1</v>
      </c>
      <c r="IF11" s="151" t="str">
        <f>LEFT(IF10,1)</f>
        <v>0</v>
      </c>
      <c r="IG11" s="149" t="str">
        <f>RIGHT(LEFT(IF10,2),1)</f>
        <v>0</v>
      </c>
      <c r="IH11" s="149" t="str">
        <f>RIGHT(LEFT(IF10,3),1)</f>
        <v>0</v>
      </c>
      <c r="II11" s="149" t="str">
        <f>RIGHT(LEFT(IF10,4),1)</f>
        <v>1</v>
      </c>
      <c r="IJ11" s="151" t="str">
        <f>LEFT(IJ10,1)</f>
        <v>0</v>
      </c>
      <c r="IK11" s="149" t="str">
        <f>RIGHT(LEFT(IJ10,2),1)</f>
        <v>0</v>
      </c>
      <c r="IL11" s="149" t="str">
        <f>RIGHT(LEFT(IJ10,3),1)</f>
        <v>1</v>
      </c>
      <c r="IM11" s="149" t="str">
        <f>RIGHT(LEFT(IJ10,4),1)</f>
        <v>0</v>
      </c>
      <c r="IN11" s="151" t="str">
        <f>LEFT(IN10,1)</f>
        <v>0</v>
      </c>
      <c r="IO11" s="149" t="str">
        <f>RIGHT(LEFT(IN10,2),1)</f>
        <v>0</v>
      </c>
      <c r="IP11" s="149" t="str">
        <f>RIGHT(LEFT(IN10,3),1)</f>
        <v>1</v>
      </c>
      <c r="IQ11" s="149" t="str">
        <f>RIGHT(LEFT(IN10,4),1)</f>
        <v>0</v>
      </c>
      <c r="IR11" s="151" t="str">
        <f>LEFT(IR10,1)</f>
        <v>0</v>
      </c>
      <c r="IS11" s="149" t="str">
        <f>RIGHT(LEFT(IR10,2),1)</f>
        <v>0</v>
      </c>
      <c r="IT11" s="149" t="str">
        <f>RIGHT(LEFT(IR10,3),1)</f>
        <v>1</v>
      </c>
      <c r="IU11" s="149" t="str">
        <f>RIGHT(LEFT(IR10,4),1)</f>
        <v>1</v>
      </c>
      <c r="IV11" s="151" t="str">
        <f>LEFT(IV10,1)</f>
        <v>0</v>
      </c>
      <c r="IW11" s="149" t="str">
        <f>RIGHT(LEFT(IV10,2),1)</f>
        <v>1</v>
      </c>
      <c r="IX11" s="149" t="str">
        <f>RIGHT(LEFT(IV10,3),1)</f>
        <v>0</v>
      </c>
      <c r="IY11" s="152" t="str">
        <f>RIGHT(LEFT(IV10,4),1)</f>
        <v>1</v>
      </c>
      <c r="IZ11" t="s">
        <v>227</v>
      </c>
    </row>
    <row r="12" spans="1:260">
      <c r="D12" s="153"/>
      <c r="E12" s="153"/>
      <c r="F12" s="153"/>
      <c r="G12" s="153"/>
      <c r="H12" s="153"/>
      <c r="I12" s="153"/>
      <c r="J12" s="153"/>
      <c r="K12" s="153"/>
      <c r="L12" s="153"/>
      <c r="M12" s="153"/>
      <c r="N12" s="153"/>
      <c r="O12" s="153"/>
      <c r="P12" s="153"/>
      <c r="Q12" s="153"/>
      <c r="R12" s="153"/>
      <c r="S12" s="153"/>
      <c r="T12" s="153"/>
      <c r="U12" s="153"/>
      <c r="V12" s="153"/>
      <c r="W12" s="153"/>
      <c r="X12" s="153"/>
      <c r="Y12" s="153"/>
      <c r="Z12" s="153"/>
      <c r="AA12" s="153"/>
      <c r="AB12" s="153"/>
      <c r="AC12" s="153"/>
      <c r="AD12" s="153"/>
      <c r="AE12" s="153"/>
      <c r="AF12" s="153"/>
      <c r="AG12" s="153"/>
      <c r="AH12" s="153"/>
      <c r="AI12" s="153"/>
      <c r="AJ12" s="153"/>
      <c r="AK12" s="153"/>
      <c r="AL12" s="153"/>
      <c r="AM12" s="153"/>
      <c r="AN12" s="153"/>
      <c r="AO12" s="153"/>
      <c r="AP12" s="153"/>
      <c r="AQ12" s="153"/>
      <c r="AR12" s="153"/>
      <c r="AS12" s="153"/>
      <c r="AT12" s="153"/>
      <c r="AU12" s="153"/>
      <c r="AV12" s="153"/>
      <c r="AW12" s="153"/>
      <c r="AX12" s="153"/>
      <c r="AY12" s="153"/>
      <c r="AZ12" s="153"/>
      <c r="BA12" s="153"/>
      <c r="BB12" s="153"/>
      <c r="BC12" s="153"/>
      <c r="BD12" s="153"/>
      <c r="BE12" s="153"/>
      <c r="BF12" s="153"/>
      <c r="BG12" s="153"/>
      <c r="BH12" s="153"/>
      <c r="BI12" s="153"/>
      <c r="BJ12" s="153"/>
      <c r="BK12" s="153"/>
      <c r="BL12" s="153"/>
      <c r="BM12" s="153"/>
      <c r="BN12" s="153"/>
      <c r="BO12" s="153"/>
      <c r="BP12" s="153"/>
      <c r="BQ12" s="153"/>
      <c r="BR12" s="153"/>
      <c r="BS12" s="153"/>
      <c r="BT12" s="153"/>
      <c r="BU12" s="153"/>
      <c r="BV12" s="153"/>
      <c r="BW12" s="153"/>
      <c r="BX12" s="153"/>
      <c r="BY12" s="153"/>
      <c r="BZ12" s="153"/>
      <c r="CA12" s="153"/>
      <c r="CB12" s="153"/>
      <c r="CC12" s="153"/>
      <c r="CD12" s="153"/>
      <c r="CE12" s="153"/>
      <c r="CF12" s="153"/>
      <c r="CG12" s="153"/>
      <c r="CH12" s="153"/>
      <c r="CI12" s="153"/>
      <c r="CJ12" s="153"/>
      <c r="CK12" s="153"/>
      <c r="CL12" s="153"/>
      <c r="CM12" s="153"/>
      <c r="CN12" s="153"/>
      <c r="CO12" s="153"/>
      <c r="CP12" s="153"/>
      <c r="CQ12" s="153"/>
      <c r="CR12" s="153"/>
      <c r="CS12" s="153"/>
      <c r="CT12" s="153"/>
      <c r="CU12" s="153"/>
      <c r="CV12" s="153"/>
      <c r="CW12" s="153"/>
      <c r="CX12" s="153"/>
      <c r="CY12" s="153"/>
      <c r="CZ12" s="153"/>
      <c r="DA12" s="153"/>
      <c r="DB12" s="153"/>
      <c r="DC12" s="153"/>
      <c r="DD12" s="153"/>
      <c r="DE12" s="153"/>
      <c r="DF12" s="153"/>
      <c r="DG12" s="153"/>
      <c r="DH12" s="153"/>
      <c r="DI12" s="153"/>
      <c r="DJ12" s="153"/>
      <c r="DK12" s="153"/>
      <c r="DL12" s="153"/>
      <c r="DM12" s="153"/>
      <c r="DN12" s="153"/>
      <c r="DO12" s="153"/>
      <c r="DP12" s="153"/>
      <c r="DQ12" s="153"/>
      <c r="DR12" s="153"/>
      <c r="DS12" s="153"/>
      <c r="DT12" s="153"/>
      <c r="DU12" s="153"/>
      <c r="DV12" s="153"/>
      <c r="DW12" s="153"/>
      <c r="DX12" s="153"/>
      <c r="DY12" s="153"/>
      <c r="DZ12" s="153"/>
      <c r="EA12" s="153"/>
      <c r="EB12" s="153"/>
      <c r="EC12" s="153"/>
      <c r="ED12" s="153"/>
      <c r="EE12" s="153"/>
      <c r="EF12" s="153"/>
      <c r="EG12" s="153"/>
      <c r="EH12" s="153"/>
      <c r="EI12" s="153"/>
      <c r="EJ12" s="153"/>
      <c r="EK12" s="153"/>
      <c r="EL12" s="153"/>
      <c r="EM12" s="153"/>
      <c r="EN12" s="153"/>
      <c r="EO12" s="153"/>
      <c r="EP12" s="153"/>
      <c r="EQ12" s="153"/>
      <c r="ER12" s="153"/>
      <c r="ES12" s="153"/>
      <c r="ET12" s="153"/>
      <c r="EU12" s="153"/>
      <c r="EV12" s="153"/>
      <c r="EW12" s="153"/>
      <c r="EX12" s="153"/>
      <c r="EY12" s="153"/>
      <c r="EZ12" s="153"/>
      <c r="FA12" s="153"/>
      <c r="FB12" s="153"/>
      <c r="FC12" s="153"/>
      <c r="FD12" s="153"/>
      <c r="FE12" s="153"/>
      <c r="FF12" s="153"/>
      <c r="FG12" s="153"/>
      <c r="FH12" s="153"/>
      <c r="FI12" s="153"/>
      <c r="FJ12" s="153"/>
      <c r="FK12" s="153"/>
      <c r="FL12" s="153"/>
      <c r="FM12" s="153"/>
      <c r="FN12" s="153"/>
      <c r="FO12" s="153"/>
      <c r="FP12" s="153"/>
      <c r="FQ12" s="153"/>
      <c r="FR12" s="153"/>
      <c r="FS12" s="153"/>
      <c r="FT12" s="153"/>
      <c r="FU12" s="153"/>
      <c r="FV12" s="153"/>
      <c r="FW12" s="153"/>
      <c r="FX12" s="153"/>
      <c r="FY12" s="153"/>
      <c r="FZ12" s="153"/>
      <c r="GA12" s="153"/>
      <c r="GB12" s="153"/>
      <c r="GC12" s="153"/>
      <c r="GD12" s="153"/>
      <c r="GE12" s="153"/>
      <c r="GF12" s="153"/>
      <c r="GG12" s="153"/>
      <c r="GH12" s="153"/>
      <c r="GI12" s="153"/>
      <c r="GJ12" s="153"/>
      <c r="GK12" s="153"/>
      <c r="GL12" s="153"/>
      <c r="GM12" s="153"/>
      <c r="GN12" s="153"/>
      <c r="GO12" s="153"/>
      <c r="GP12" s="153"/>
      <c r="GQ12" s="153"/>
      <c r="GR12" s="153"/>
      <c r="GS12" s="153"/>
      <c r="GT12" s="153"/>
      <c r="GU12" s="153"/>
      <c r="GV12" s="153"/>
      <c r="GW12" s="153"/>
      <c r="GX12" s="153"/>
      <c r="GY12" s="153"/>
      <c r="GZ12" s="153"/>
      <c r="HA12" s="153"/>
      <c r="HB12" s="153"/>
      <c r="HC12" s="153"/>
      <c r="HD12" s="153"/>
      <c r="HE12" s="153"/>
      <c r="HF12" s="153"/>
      <c r="HG12" s="153"/>
      <c r="HH12" s="153"/>
      <c r="HI12" s="153"/>
      <c r="HJ12" s="153"/>
      <c r="HK12" s="153"/>
      <c r="HL12" s="153"/>
      <c r="HM12" s="153"/>
      <c r="HN12" s="153"/>
      <c r="HO12" s="153"/>
      <c r="HP12" s="153"/>
      <c r="HQ12" s="153"/>
      <c r="HR12" s="153"/>
      <c r="HS12" s="153"/>
      <c r="HT12" s="153"/>
      <c r="HU12" s="153"/>
      <c r="HV12" s="153"/>
      <c r="HW12" s="153"/>
      <c r="HX12" s="153"/>
      <c r="HY12" s="153"/>
      <c r="HZ12" s="153"/>
      <c r="IA12" s="153"/>
      <c r="IB12" s="153"/>
      <c r="IC12" s="153"/>
      <c r="ID12" s="153"/>
      <c r="IE12" s="153"/>
      <c r="IF12" s="153"/>
      <c r="IG12" s="153"/>
      <c r="IH12" s="153"/>
      <c r="II12" s="153"/>
      <c r="IJ12" s="153"/>
      <c r="IK12" s="153"/>
      <c r="IL12" s="153"/>
      <c r="IM12" s="153"/>
      <c r="IN12" s="153"/>
      <c r="IO12" s="153"/>
      <c r="IP12" s="153"/>
      <c r="IQ12" s="153"/>
      <c r="IR12" s="153"/>
      <c r="IS12" s="153"/>
      <c r="IT12" s="153"/>
      <c r="IU12" s="153"/>
      <c r="IV12" s="153"/>
      <c r="IW12" s="153"/>
      <c r="IX12" s="153"/>
      <c r="IY12" s="153"/>
      <c r="IZ12" t="s">
        <v>227</v>
      </c>
    </row>
    <row r="13" spans="1:260">
      <c r="B13" t="s">
        <v>232</v>
      </c>
      <c r="C13" s="196">
        <f>LEN(C14)</f>
        <v>64</v>
      </c>
      <c r="D13" s="196"/>
      <c r="IZ13" t="s">
        <v>227</v>
      </c>
    </row>
    <row r="14" spans="1:260" ht="14.4" thickBot="1">
      <c r="B14" s="143" t="s">
        <v>239</v>
      </c>
      <c r="C14" s="197" t="s">
        <v>240</v>
      </c>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c r="AB14" s="209"/>
      <c r="AC14" s="209"/>
      <c r="AD14" s="209"/>
      <c r="AE14" s="209"/>
      <c r="AF14" s="209"/>
      <c r="AG14" s="209"/>
      <c r="AH14" s="209"/>
      <c r="AI14" s="209"/>
      <c r="AJ14" s="209"/>
      <c r="AK14" s="209"/>
      <c r="AL14" s="209"/>
      <c r="AM14" s="209"/>
      <c r="AN14" s="209"/>
      <c r="AO14" s="209"/>
      <c r="AP14" s="209"/>
      <c r="AQ14" s="209"/>
      <c r="AR14" s="209"/>
      <c r="AS14" s="209"/>
      <c r="AT14" s="209"/>
      <c r="AU14" s="209"/>
      <c r="AV14" s="209"/>
      <c r="AW14" s="209"/>
      <c r="AX14" s="209"/>
      <c r="AY14" s="209"/>
      <c r="AZ14" s="209"/>
      <c r="BA14" s="209"/>
      <c r="BB14" s="209"/>
      <c r="BC14" s="209"/>
      <c r="BD14" s="209"/>
      <c r="BE14" s="209"/>
      <c r="BF14" s="209"/>
      <c r="BG14" s="209"/>
      <c r="BH14" s="209"/>
      <c r="BI14" s="209"/>
      <c r="BJ14" s="209"/>
      <c r="BK14" s="209"/>
      <c r="BL14" s="209"/>
      <c r="BM14" s="209"/>
      <c r="BN14" s="209"/>
      <c r="BO14" s="209"/>
      <c r="BP14" s="209"/>
      <c r="BQ14" s="209"/>
      <c r="BR14" s="209"/>
      <c r="BS14" s="209"/>
      <c r="BT14" s="209"/>
      <c r="BU14" s="209"/>
      <c r="BV14" s="209"/>
      <c r="BW14" s="209"/>
      <c r="BX14" s="209"/>
      <c r="BY14" s="209"/>
      <c r="BZ14" s="209"/>
      <c r="CA14" s="209"/>
      <c r="CB14" s="209"/>
      <c r="CC14" s="209"/>
      <c r="CD14" s="209"/>
      <c r="CE14" s="210"/>
      <c r="IZ14" t="s">
        <v>227</v>
      </c>
    </row>
    <row r="15" spans="1:260" ht="15" thickTop="1" thickBot="1">
      <c r="B15" t="s">
        <v>235</v>
      </c>
      <c r="D15" s="211">
        <v>1</v>
      </c>
      <c r="E15" s="211"/>
      <c r="F15" s="211"/>
      <c r="G15" s="211"/>
      <c r="H15" s="211">
        <v>2</v>
      </c>
      <c r="I15" s="211"/>
      <c r="J15" s="211"/>
      <c r="K15" s="211"/>
      <c r="L15" s="211">
        <v>3</v>
      </c>
      <c r="M15" s="211"/>
      <c r="N15" s="211"/>
      <c r="O15" s="211"/>
      <c r="P15" s="211">
        <v>4</v>
      </c>
      <c r="Q15" s="211"/>
      <c r="R15" s="211"/>
      <c r="S15" s="211"/>
      <c r="T15" s="211">
        <v>5</v>
      </c>
      <c r="U15" s="211"/>
      <c r="V15" s="211"/>
      <c r="W15" s="211"/>
      <c r="X15" s="211">
        <v>6</v>
      </c>
      <c r="Y15" s="211"/>
      <c r="Z15" s="211"/>
      <c r="AA15" s="211"/>
      <c r="AB15" s="211">
        <v>7</v>
      </c>
      <c r="AC15" s="211"/>
      <c r="AD15" s="211"/>
      <c r="AE15" s="211"/>
      <c r="AF15" s="211">
        <v>8</v>
      </c>
      <c r="AG15" s="211"/>
      <c r="AH15" s="211"/>
      <c r="AI15" s="211"/>
      <c r="AJ15" s="211">
        <v>9</v>
      </c>
      <c r="AK15" s="211"/>
      <c r="AL15" s="211"/>
      <c r="AM15" s="211"/>
      <c r="AN15" s="211">
        <v>10</v>
      </c>
      <c r="AO15" s="211"/>
      <c r="AP15" s="211"/>
      <c r="AQ15" s="211"/>
      <c r="AR15" s="211">
        <v>11</v>
      </c>
      <c r="AS15" s="211"/>
      <c r="AT15" s="211"/>
      <c r="AU15" s="211"/>
      <c r="AV15" s="211">
        <v>12</v>
      </c>
      <c r="AW15" s="211"/>
      <c r="AX15" s="211"/>
      <c r="AY15" s="211"/>
      <c r="AZ15" s="211">
        <v>13</v>
      </c>
      <c r="BA15" s="211"/>
      <c r="BB15" s="211"/>
      <c r="BC15" s="211"/>
      <c r="BD15" s="211">
        <v>14</v>
      </c>
      <c r="BE15" s="211"/>
      <c r="BF15" s="211"/>
      <c r="BG15" s="211"/>
      <c r="BH15" s="211">
        <v>15</v>
      </c>
      <c r="BI15" s="211"/>
      <c r="BJ15" s="211"/>
      <c r="BK15" s="211"/>
      <c r="BL15" s="211">
        <v>16</v>
      </c>
      <c r="BM15" s="211"/>
      <c r="BN15" s="211"/>
      <c r="BO15" s="211"/>
      <c r="BP15" s="211">
        <v>17</v>
      </c>
      <c r="BQ15" s="211"/>
      <c r="BR15" s="211"/>
      <c r="BS15" s="211"/>
      <c r="BT15" s="211">
        <v>18</v>
      </c>
      <c r="BU15" s="211"/>
      <c r="BV15" s="211"/>
      <c r="BW15" s="211"/>
      <c r="BX15" s="211">
        <v>19</v>
      </c>
      <c r="BY15" s="211"/>
      <c r="BZ15" s="211"/>
      <c r="CA15" s="211"/>
      <c r="CB15" s="211">
        <v>20</v>
      </c>
      <c r="CC15" s="211"/>
      <c r="CD15" s="211"/>
      <c r="CE15" s="211"/>
      <c r="CF15" s="212">
        <v>21</v>
      </c>
      <c r="CG15" s="212"/>
      <c r="CH15" s="212"/>
      <c r="CI15" s="212"/>
      <c r="CJ15" s="212">
        <v>22</v>
      </c>
      <c r="CK15" s="212"/>
      <c r="CL15" s="212"/>
      <c r="CM15" s="212"/>
      <c r="CN15" s="212">
        <v>23</v>
      </c>
      <c r="CO15" s="212"/>
      <c r="CP15" s="212"/>
      <c r="CQ15" s="212"/>
      <c r="CR15" s="212">
        <v>24</v>
      </c>
      <c r="CS15" s="212"/>
      <c r="CT15" s="212"/>
      <c r="CU15" s="212"/>
      <c r="CV15" s="212">
        <v>25</v>
      </c>
      <c r="CW15" s="212"/>
      <c r="CX15" s="212"/>
      <c r="CY15" s="212"/>
      <c r="CZ15" s="212">
        <v>26</v>
      </c>
      <c r="DA15" s="212"/>
      <c r="DB15" s="212"/>
      <c r="DC15" s="212"/>
      <c r="DD15" s="212">
        <v>27</v>
      </c>
      <c r="DE15" s="212"/>
      <c r="DF15" s="212"/>
      <c r="DG15" s="212"/>
      <c r="DH15" s="212">
        <v>28</v>
      </c>
      <c r="DI15" s="212"/>
      <c r="DJ15" s="212"/>
      <c r="DK15" s="212"/>
      <c r="DL15" s="212">
        <v>29</v>
      </c>
      <c r="DM15" s="212"/>
      <c r="DN15" s="212"/>
      <c r="DO15" s="212"/>
      <c r="DP15" s="212">
        <v>30</v>
      </c>
      <c r="DQ15" s="212"/>
      <c r="DR15" s="212"/>
      <c r="DS15" s="212"/>
      <c r="DT15" s="212">
        <v>31</v>
      </c>
      <c r="DU15" s="212"/>
      <c r="DV15" s="212"/>
      <c r="DW15" s="212"/>
      <c r="DX15" s="212">
        <v>32</v>
      </c>
      <c r="DY15" s="212"/>
      <c r="DZ15" s="212"/>
      <c r="EA15" s="212"/>
      <c r="EB15" s="212">
        <v>33</v>
      </c>
      <c r="EC15" s="212"/>
      <c r="ED15" s="212"/>
      <c r="EE15" s="212"/>
      <c r="EF15" s="212">
        <v>34</v>
      </c>
      <c r="EG15" s="212"/>
      <c r="EH15" s="212"/>
      <c r="EI15" s="212"/>
      <c r="EJ15" s="212">
        <v>35</v>
      </c>
      <c r="EK15" s="212"/>
      <c r="EL15" s="212"/>
      <c r="EM15" s="212"/>
      <c r="EN15" s="212">
        <v>36</v>
      </c>
      <c r="EO15" s="212"/>
      <c r="EP15" s="212"/>
      <c r="EQ15" s="212"/>
      <c r="ER15" s="212">
        <v>37</v>
      </c>
      <c r="ES15" s="212"/>
      <c r="ET15" s="212"/>
      <c r="EU15" s="212"/>
      <c r="EV15" s="212">
        <v>38</v>
      </c>
      <c r="EW15" s="212"/>
      <c r="EX15" s="212"/>
      <c r="EY15" s="212"/>
      <c r="EZ15" s="212">
        <v>39</v>
      </c>
      <c r="FA15" s="212"/>
      <c r="FB15" s="212"/>
      <c r="FC15" s="212"/>
      <c r="FD15" s="212">
        <v>40</v>
      </c>
      <c r="FE15" s="212"/>
      <c r="FF15" s="212"/>
      <c r="FG15" s="212"/>
      <c r="FH15" s="212">
        <v>41</v>
      </c>
      <c r="FI15" s="212"/>
      <c r="FJ15" s="212"/>
      <c r="FK15" s="212"/>
      <c r="FL15" s="212">
        <v>42</v>
      </c>
      <c r="FM15" s="212"/>
      <c r="FN15" s="212"/>
      <c r="FO15" s="212"/>
      <c r="FP15" s="212">
        <v>43</v>
      </c>
      <c r="FQ15" s="212"/>
      <c r="FR15" s="212"/>
      <c r="FS15" s="212"/>
      <c r="FT15" s="212">
        <v>44</v>
      </c>
      <c r="FU15" s="212"/>
      <c r="FV15" s="212"/>
      <c r="FW15" s="212"/>
      <c r="FX15" s="212">
        <v>45</v>
      </c>
      <c r="FY15" s="212"/>
      <c r="FZ15" s="212"/>
      <c r="GA15" s="212"/>
      <c r="GB15" s="212">
        <v>46</v>
      </c>
      <c r="GC15" s="212"/>
      <c r="GD15" s="212"/>
      <c r="GE15" s="212"/>
      <c r="GF15" s="212">
        <v>47</v>
      </c>
      <c r="GG15" s="212"/>
      <c r="GH15" s="212"/>
      <c r="GI15" s="212"/>
      <c r="GJ15" s="212">
        <v>48</v>
      </c>
      <c r="GK15" s="212"/>
      <c r="GL15" s="212"/>
      <c r="GM15" s="212"/>
      <c r="GN15" s="212">
        <v>49</v>
      </c>
      <c r="GO15" s="212"/>
      <c r="GP15" s="212"/>
      <c r="GQ15" s="212"/>
      <c r="GR15" s="212">
        <v>50</v>
      </c>
      <c r="GS15" s="212"/>
      <c r="GT15" s="212"/>
      <c r="GU15" s="212"/>
      <c r="GV15" s="212">
        <v>51</v>
      </c>
      <c r="GW15" s="212"/>
      <c r="GX15" s="212"/>
      <c r="GY15" s="212"/>
      <c r="GZ15" s="212">
        <v>52</v>
      </c>
      <c r="HA15" s="212"/>
      <c r="HB15" s="212"/>
      <c r="HC15" s="212"/>
      <c r="HD15" s="212">
        <v>53</v>
      </c>
      <c r="HE15" s="212"/>
      <c r="HF15" s="212"/>
      <c r="HG15" s="212"/>
      <c r="HH15" s="212">
        <v>54</v>
      </c>
      <c r="HI15" s="212"/>
      <c r="HJ15" s="212"/>
      <c r="HK15" s="212"/>
      <c r="HL15" s="212">
        <v>55</v>
      </c>
      <c r="HM15" s="212"/>
      <c r="HN15" s="212"/>
      <c r="HO15" s="212"/>
      <c r="HP15" s="212">
        <v>56</v>
      </c>
      <c r="HQ15" s="212"/>
      <c r="HR15" s="212"/>
      <c r="HS15" s="212"/>
      <c r="HT15" s="212">
        <v>57</v>
      </c>
      <c r="HU15" s="212"/>
      <c r="HV15" s="212"/>
      <c r="HW15" s="212"/>
      <c r="HX15" s="212">
        <v>58</v>
      </c>
      <c r="HY15" s="212"/>
      <c r="HZ15" s="212"/>
      <c r="IA15" s="212"/>
      <c r="IB15" s="212">
        <v>59</v>
      </c>
      <c r="IC15" s="212"/>
      <c r="ID15" s="212"/>
      <c r="IE15" s="212"/>
      <c r="IF15" s="212">
        <v>60</v>
      </c>
      <c r="IG15" s="212"/>
      <c r="IH15" s="212"/>
      <c r="II15" s="212"/>
      <c r="IJ15" s="212">
        <v>61</v>
      </c>
      <c r="IK15" s="212"/>
      <c r="IL15" s="212"/>
      <c r="IM15" s="212"/>
      <c r="IN15" s="212">
        <v>62</v>
      </c>
      <c r="IO15" s="212"/>
      <c r="IP15" s="212"/>
      <c r="IQ15" s="212"/>
      <c r="IR15" s="212">
        <v>63</v>
      </c>
      <c r="IS15" s="212"/>
      <c r="IT15" s="212"/>
      <c r="IU15" s="212"/>
      <c r="IV15" s="212">
        <v>64</v>
      </c>
      <c r="IW15" s="212"/>
      <c r="IX15" s="212"/>
      <c r="IY15" s="212"/>
      <c r="IZ15" t="s">
        <v>227</v>
      </c>
    </row>
    <row r="16" spans="1:260" ht="14.4" thickTop="1">
      <c r="B16" t="s">
        <v>236</v>
      </c>
      <c r="D16" s="144" t="str">
        <f t="shared" ref="D16" si="66">RIGHT(LEFT($C$14,D15),1)</f>
        <v>2</v>
      </c>
      <c r="E16" s="145"/>
      <c r="F16" s="145"/>
      <c r="G16" s="146"/>
      <c r="H16" s="147" t="str">
        <f t="shared" ref="H16" si="67">RIGHT(LEFT($C$14,H15),1)</f>
        <v>d</v>
      </c>
      <c r="I16" s="145"/>
      <c r="J16" s="145"/>
      <c r="K16" s="146"/>
      <c r="L16" s="147" t="str">
        <f t="shared" ref="L16" si="68">RIGHT(LEFT($C$14,L15),1)</f>
        <v>5</v>
      </c>
      <c r="M16" s="145"/>
      <c r="N16" s="145"/>
      <c r="O16" s="146"/>
      <c r="P16" s="147" t="str">
        <f t="shared" ref="P16" si="69">RIGHT(LEFT($C$14,P15),1)</f>
        <v>a</v>
      </c>
      <c r="Q16" s="145"/>
      <c r="R16" s="145"/>
      <c r="S16" s="146"/>
      <c r="T16" s="147" t="str">
        <f t="shared" ref="T16" si="70">RIGHT(LEFT($C$14,T15),1)</f>
        <v>d</v>
      </c>
      <c r="U16" s="145"/>
      <c r="V16" s="145"/>
      <c r="W16" s="146"/>
      <c r="X16" s="147" t="str">
        <f t="shared" ref="X16" si="71">RIGHT(LEFT($C$14,X15),1)</f>
        <v>0</v>
      </c>
      <c r="Y16" s="145"/>
      <c r="Z16" s="145"/>
      <c r="AA16" s="146"/>
      <c r="AB16" s="147" t="str">
        <f t="shared" ref="AB16" si="72">RIGHT(LEFT($C$14,AB15),1)</f>
        <v>9</v>
      </c>
      <c r="AC16" s="145"/>
      <c r="AD16" s="145"/>
      <c r="AE16" s="146"/>
      <c r="AF16" s="147" t="str">
        <f t="shared" ref="AF16" si="73">RIGHT(LEFT($C$14,AF15),1)</f>
        <v>8</v>
      </c>
      <c r="AG16" s="145"/>
      <c r="AH16" s="145"/>
      <c r="AI16" s="146"/>
      <c r="AJ16" s="147" t="str">
        <f t="shared" ref="AJ16" si="74">RIGHT(LEFT($C$14,AJ15),1)</f>
        <v>7</v>
      </c>
      <c r="AK16" s="145"/>
      <c r="AL16" s="145"/>
      <c r="AM16" s="146"/>
      <c r="AN16" s="147" t="str">
        <f t="shared" ref="AN16" si="75">RIGHT(LEFT($C$14,AN15),1)</f>
        <v>6</v>
      </c>
      <c r="AO16" s="145"/>
      <c r="AP16" s="145"/>
      <c r="AQ16" s="146"/>
      <c r="AR16" s="147" t="str">
        <f t="shared" ref="AR16" si="76">RIGHT(LEFT($C$14,AR15),1)</f>
        <v>5</v>
      </c>
      <c r="AS16" s="145"/>
      <c r="AT16" s="145"/>
      <c r="AU16" s="146"/>
      <c r="AV16" s="147" t="str">
        <f t="shared" ref="AV16" si="77">RIGHT(LEFT($C$14,AV15),1)</f>
        <v>4</v>
      </c>
      <c r="AW16" s="145"/>
      <c r="AX16" s="145"/>
      <c r="AY16" s="146"/>
      <c r="AZ16" s="147" t="str">
        <f t="shared" ref="AZ16" si="78">RIGHT(LEFT($C$14,AZ15),1)</f>
        <v>3</v>
      </c>
      <c r="BA16" s="145"/>
      <c r="BB16" s="145"/>
      <c r="BC16" s="146"/>
      <c r="BD16" s="147" t="str">
        <f t="shared" ref="BD16" si="79">RIGHT(LEFT($C$14,BD15),1)</f>
        <v>5</v>
      </c>
      <c r="BE16" s="145"/>
      <c r="BF16" s="145"/>
      <c r="BG16" s="146"/>
      <c r="BH16" s="147" t="str">
        <f t="shared" ref="BH16" si="80">RIGHT(LEFT($C$14,BH15),1)</f>
        <v>6</v>
      </c>
      <c r="BI16" s="145"/>
      <c r="BJ16" s="145"/>
      <c r="BK16" s="146"/>
      <c r="BL16" s="147" t="str">
        <f t="shared" ref="BL16" si="81">RIGHT(LEFT($C$14,BL15),1)</f>
        <v>6</v>
      </c>
      <c r="BM16" s="145"/>
      <c r="BN16" s="145"/>
      <c r="BO16" s="146"/>
      <c r="BP16" s="147" t="str">
        <f t="shared" ref="BP16" si="82">RIGHT(LEFT($C$14,BP15),1)</f>
        <v>7</v>
      </c>
      <c r="BQ16" s="145"/>
      <c r="BR16" s="145"/>
      <c r="BS16" s="146"/>
      <c r="BT16" s="147" t="str">
        <f t="shared" ref="BT16" si="83">RIGHT(LEFT($C$14,BT15),1)</f>
        <v>8</v>
      </c>
      <c r="BU16" s="145"/>
      <c r="BV16" s="145"/>
      <c r="BW16" s="146"/>
      <c r="BX16" s="147" t="str">
        <f t="shared" ref="BX16" si="84">RIGHT(LEFT($C$14,BX15),1)</f>
        <v>9</v>
      </c>
      <c r="BY16" s="145"/>
      <c r="BZ16" s="145"/>
      <c r="CA16" s="146"/>
      <c r="CB16" s="147" t="str">
        <f t="shared" ref="CB16" si="85">RIGHT(LEFT($C$14,CB15),1)</f>
        <v>9</v>
      </c>
      <c r="CC16" s="145"/>
      <c r="CD16" s="145"/>
      <c r="CE16" s="146"/>
      <c r="CF16" s="147" t="str">
        <f t="shared" ref="CF16" si="86">RIGHT(LEFT($C$14,CF15),1)</f>
        <v>8</v>
      </c>
      <c r="CG16" s="145"/>
      <c r="CH16" s="145"/>
      <c r="CI16" s="146"/>
      <c r="CJ16" s="147" t="str">
        <f t="shared" ref="CJ16" si="87">RIGHT(LEFT($C$14,CJ15),1)</f>
        <v>7</v>
      </c>
      <c r="CK16" s="145"/>
      <c r="CL16" s="145"/>
      <c r="CM16" s="146"/>
      <c r="CN16" s="147" t="str">
        <f t="shared" ref="CN16" si="88">RIGHT(LEFT($C$14,CN15),1)</f>
        <v>6</v>
      </c>
      <c r="CO16" s="145"/>
      <c r="CP16" s="145"/>
      <c r="CQ16" s="146"/>
      <c r="CR16" s="147" t="str">
        <f t="shared" ref="CR16" si="89">RIGHT(LEFT($C$14,CR15),1)</f>
        <v>5</v>
      </c>
      <c r="CS16" s="145"/>
      <c r="CT16" s="145"/>
      <c r="CU16" s="146"/>
      <c r="CV16" s="147" t="str">
        <f t="shared" ref="CV16" si="90">RIGHT(LEFT($C$14,CV15),1)</f>
        <v>4</v>
      </c>
      <c r="CW16" s="145"/>
      <c r="CX16" s="145"/>
      <c r="CY16" s="146"/>
      <c r="CZ16" s="147" t="str">
        <f t="shared" ref="CZ16" si="91">RIGHT(LEFT($C$14,CZ15),1)</f>
        <v>3</v>
      </c>
      <c r="DA16" s="145"/>
      <c r="DB16" s="145"/>
      <c r="DC16" s="146"/>
      <c r="DD16" s="147" t="str">
        <f t="shared" ref="DD16" si="92">RIGHT(LEFT($C$14,DD15),1)</f>
        <v>5</v>
      </c>
      <c r="DE16" s="145"/>
      <c r="DF16" s="145"/>
      <c r="DG16" s="146"/>
      <c r="DH16" s="147" t="str">
        <f t="shared" ref="DH16" si="93">RIGHT(LEFT($C$14,DH15),1)</f>
        <v>6</v>
      </c>
      <c r="DI16" s="145"/>
      <c r="DJ16" s="145"/>
      <c r="DK16" s="146"/>
      <c r="DL16" s="147" t="str">
        <f t="shared" ref="DL16" si="94">RIGHT(LEFT($C$14,DL15),1)</f>
        <v>6</v>
      </c>
      <c r="DM16" s="145"/>
      <c r="DN16" s="145"/>
      <c r="DO16" s="146"/>
      <c r="DP16" s="147" t="str">
        <f t="shared" ref="DP16" si="95">RIGHT(LEFT($C$14,DP15),1)</f>
        <v>7</v>
      </c>
      <c r="DQ16" s="145"/>
      <c r="DR16" s="145"/>
      <c r="DS16" s="146"/>
      <c r="DT16" s="147" t="str">
        <f t="shared" ref="DT16" si="96">RIGHT(LEFT($C$14,DT15),1)</f>
        <v>8</v>
      </c>
      <c r="DU16" s="145"/>
      <c r="DV16" s="145"/>
      <c r="DW16" s="146"/>
      <c r="DX16" s="147" t="str">
        <f t="shared" ref="DX16" si="97">RIGHT(LEFT($C$14,DX15),1)</f>
        <v>7</v>
      </c>
      <c r="DY16" s="145"/>
      <c r="DZ16" s="145"/>
      <c r="EA16" s="146"/>
      <c r="EB16" s="147" t="str">
        <f t="shared" ref="EB16" si="98">RIGHT(LEFT($C$14,EB15),1)</f>
        <v>6</v>
      </c>
      <c r="EC16" s="145"/>
      <c r="ED16" s="145"/>
      <c r="EE16" s="146"/>
      <c r="EF16" s="147" t="str">
        <f t="shared" ref="EF16" si="99">RIGHT(LEFT($C$14,EF15),1)</f>
        <v>5</v>
      </c>
      <c r="EG16" s="145"/>
      <c r="EH16" s="145"/>
      <c r="EI16" s="146"/>
      <c r="EJ16" s="147" t="str">
        <f t="shared" ref="EJ16" si="100">RIGHT(LEFT($C$14,EJ15),1)</f>
        <v>4</v>
      </c>
      <c r="EK16" s="145"/>
      <c r="EL16" s="145"/>
      <c r="EM16" s="146"/>
      <c r="EN16" s="147" t="str">
        <f t="shared" ref="EN16" si="101">RIGHT(LEFT($C$14,EN15),1)</f>
        <v>6</v>
      </c>
      <c r="EO16" s="145"/>
      <c r="EP16" s="145"/>
      <c r="EQ16" s="146"/>
      <c r="ER16" s="147" t="str">
        <f t="shared" ref="ER16" si="102">RIGHT(LEFT($C$14,ER15),1)</f>
        <v>7</v>
      </c>
      <c r="ES16" s="145"/>
      <c r="ET16" s="145"/>
      <c r="EU16" s="146"/>
      <c r="EV16" s="147" t="str">
        <f t="shared" ref="EV16" si="103">RIGHT(LEFT($C$14,EV15),1)</f>
        <v>8</v>
      </c>
      <c r="EW16" s="145"/>
      <c r="EX16" s="145"/>
      <c r="EY16" s="146"/>
      <c r="EZ16" s="147" t="str">
        <f t="shared" ref="EZ16" si="104">RIGHT(LEFT($C$14,EZ15),1)</f>
        <v>7</v>
      </c>
      <c r="FA16" s="145"/>
      <c r="FB16" s="145"/>
      <c r="FC16" s="146"/>
      <c r="FD16" s="147" t="str">
        <f t="shared" ref="FD16" si="105">RIGHT(LEFT($C$14,FD15),1)</f>
        <v>6</v>
      </c>
      <c r="FE16" s="145"/>
      <c r="FF16" s="145"/>
      <c r="FG16" s="146"/>
      <c r="FH16" s="147" t="str">
        <f t="shared" ref="FH16" si="106">RIGHT(LEFT($C$14,FH15),1)</f>
        <v>5</v>
      </c>
      <c r="FI16" s="145"/>
      <c r="FJ16" s="145"/>
      <c r="FK16" s="146"/>
      <c r="FL16" s="147" t="str">
        <f t="shared" ref="FL16" si="107">RIGHT(LEFT($C$14,FL15),1)</f>
        <v>6</v>
      </c>
      <c r="FM16" s="145"/>
      <c r="FN16" s="145"/>
      <c r="FO16" s="146"/>
      <c r="FP16" s="147" t="str">
        <f t="shared" ref="FP16" si="108">RIGHT(LEFT($C$14,FP15),1)</f>
        <v>7</v>
      </c>
      <c r="FQ16" s="145"/>
      <c r="FR16" s="145"/>
      <c r="FS16" s="146"/>
      <c r="FT16" s="147" t="str">
        <f t="shared" ref="FT16" si="109">RIGHT(LEFT($C$14,FT15),1)</f>
        <v>8</v>
      </c>
      <c r="FU16" s="145"/>
      <c r="FV16" s="145"/>
      <c r="FW16" s="146"/>
      <c r="FX16" s="147" t="str">
        <f t="shared" ref="FX16" si="110">RIGHT(LEFT($C$14,FX15),1)</f>
        <v>7</v>
      </c>
      <c r="FY16" s="145"/>
      <c r="FZ16" s="145"/>
      <c r="GA16" s="146"/>
      <c r="GB16" s="147" t="str">
        <f t="shared" ref="GB16" si="111">RIGHT(LEFT($C$14,GB15),1)</f>
        <v>6</v>
      </c>
      <c r="GC16" s="145"/>
      <c r="GD16" s="145"/>
      <c r="GE16" s="146"/>
      <c r="GF16" s="147" t="str">
        <f t="shared" ref="GF16" si="112">RIGHT(LEFT($C$14,GF15),1)</f>
        <v>5</v>
      </c>
      <c r="GG16" s="145"/>
      <c r="GH16" s="145"/>
      <c r="GI16" s="146"/>
      <c r="GJ16" s="147" t="str">
        <f t="shared" ref="GJ16" si="113">RIGHT(LEFT($C$14,GJ15),1)</f>
        <v>6</v>
      </c>
      <c r="GK16" s="145"/>
      <c r="GL16" s="145"/>
      <c r="GM16" s="146"/>
      <c r="GN16" s="147" t="str">
        <f t="shared" ref="GN16" si="114">RIGHT(LEFT($C$14,GN15),1)</f>
        <v>7</v>
      </c>
      <c r="GO16" s="145"/>
      <c r="GP16" s="145"/>
      <c r="GQ16" s="146"/>
      <c r="GR16" s="147" t="str">
        <f t="shared" ref="GR16" si="115">RIGHT(LEFT($C$14,GR15),1)</f>
        <v>8</v>
      </c>
      <c r="GS16" s="145"/>
      <c r="GT16" s="145"/>
      <c r="GU16" s="146"/>
      <c r="GV16" s="147" t="str">
        <f t="shared" ref="GV16" si="116">RIGHT(LEFT($C$14,GV15),1)</f>
        <v>7</v>
      </c>
      <c r="GW16" s="145"/>
      <c r="GX16" s="145"/>
      <c r="GY16" s="146"/>
      <c r="GZ16" s="147" t="str">
        <f t="shared" ref="GZ16" si="117">RIGHT(LEFT($C$14,GZ15),1)</f>
        <v>6</v>
      </c>
      <c r="HA16" s="145"/>
      <c r="HB16" s="145"/>
      <c r="HC16" s="146"/>
      <c r="HD16" s="147" t="str">
        <f t="shared" ref="HD16" si="118">RIGHT(LEFT($C$14,HD15),1)</f>
        <v>5</v>
      </c>
      <c r="HE16" s="145"/>
      <c r="HF16" s="145"/>
      <c r="HG16" s="146"/>
      <c r="HH16" s="147" t="str">
        <f t="shared" ref="HH16" si="119">RIGHT(LEFT($C$14,HH15),1)</f>
        <v>6</v>
      </c>
      <c r="HI16" s="145"/>
      <c r="HJ16" s="145"/>
      <c r="HK16" s="146"/>
      <c r="HL16" s="147" t="str">
        <f t="shared" ref="HL16" si="120">RIGHT(LEFT($C$14,HL15),1)</f>
        <v>7</v>
      </c>
      <c r="HM16" s="145"/>
      <c r="HN16" s="145"/>
      <c r="HO16" s="146"/>
      <c r="HP16" s="147" t="str">
        <f t="shared" ref="HP16" si="121">RIGHT(LEFT($C$14,HP15),1)</f>
        <v>7</v>
      </c>
      <c r="HQ16" s="145"/>
      <c r="HR16" s="145"/>
      <c r="HS16" s="146"/>
      <c r="HT16" s="147" t="str">
        <f t="shared" ref="HT16" si="122">RIGHT(LEFT($C$14,HT15),1)</f>
        <v>8</v>
      </c>
      <c r="HU16" s="145"/>
      <c r="HV16" s="145"/>
      <c r="HW16" s="146"/>
      <c r="HX16" s="147" t="str">
        <f t="shared" ref="HX16" si="123">RIGHT(LEFT($C$14,HX15),1)</f>
        <v>7</v>
      </c>
      <c r="HY16" s="145"/>
      <c r="HZ16" s="145"/>
      <c r="IA16" s="146"/>
      <c r="IB16" s="147" t="str">
        <f t="shared" ref="IB16" si="124">RIGHT(LEFT($C$14,IB15),1)</f>
        <v>6</v>
      </c>
      <c r="IC16" s="145"/>
      <c r="ID16" s="145"/>
      <c r="IE16" s="146"/>
      <c r="IF16" s="147" t="str">
        <f t="shared" ref="IF16" si="125">RIGHT(LEFT($C$14,IF15),1)</f>
        <v>5</v>
      </c>
      <c r="IG16" s="145"/>
      <c r="IH16" s="145"/>
      <c r="II16" s="146"/>
      <c r="IJ16" s="147" t="str">
        <f t="shared" ref="IJ16" si="126">RIGHT(LEFT($C$14,IJ15),1)</f>
        <v>5</v>
      </c>
      <c r="IK16" s="145"/>
      <c r="IL16" s="145"/>
      <c r="IM16" s="146"/>
      <c r="IN16" s="147" t="str">
        <f t="shared" ref="IN16" si="127">RIGHT(LEFT($C$14,IN15),1)</f>
        <v>5</v>
      </c>
      <c r="IO16" s="145"/>
      <c r="IP16" s="145"/>
      <c r="IQ16" s="146"/>
      <c r="IR16" s="147" t="str">
        <f t="shared" ref="IR16" si="128">RIGHT(LEFT($C$14,IR15),1)</f>
        <v>4</v>
      </c>
      <c r="IS16" s="145"/>
      <c r="IT16" s="145"/>
      <c r="IU16" s="146"/>
      <c r="IV16" s="147" t="str">
        <f t="shared" ref="IV16" si="129">RIGHT(LEFT($C$14,IV15),1)</f>
        <v>4</v>
      </c>
      <c r="IW16" s="145"/>
      <c r="IX16" s="145"/>
      <c r="IY16" s="146"/>
      <c r="IZ16" t="s">
        <v>227</v>
      </c>
    </row>
    <row r="17" spans="1:260">
      <c r="B17" t="s">
        <v>237</v>
      </c>
      <c r="D17" s="202" t="str">
        <f>HEX2BIN(D16,4)</f>
        <v>0010</v>
      </c>
      <c r="E17" s="203"/>
      <c r="F17" s="203"/>
      <c r="G17" s="203"/>
      <c r="H17" s="204" t="str">
        <f>HEX2BIN(H16,4)</f>
        <v>1101</v>
      </c>
      <c r="I17" s="203"/>
      <c r="J17" s="203"/>
      <c r="K17" s="203"/>
      <c r="L17" s="203" t="str">
        <f t="shared" ref="L17" si="130">HEX2BIN(L16,4)</f>
        <v>0101</v>
      </c>
      <c r="M17" s="203"/>
      <c r="N17" s="203"/>
      <c r="O17" s="203"/>
      <c r="P17" s="203" t="str">
        <f t="shared" ref="P17" si="131">HEX2BIN(P16,4)</f>
        <v>1010</v>
      </c>
      <c r="Q17" s="203"/>
      <c r="R17" s="203"/>
      <c r="S17" s="203"/>
      <c r="T17" s="204" t="str">
        <f t="shared" ref="T17" si="132">HEX2BIN(T16,4)</f>
        <v>1101</v>
      </c>
      <c r="U17" s="203"/>
      <c r="V17" s="203"/>
      <c r="W17" s="203"/>
      <c r="X17" s="203" t="str">
        <f t="shared" ref="X17" si="133">HEX2BIN(X16,4)</f>
        <v>0000</v>
      </c>
      <c r="Y17" s="203"/>
      <c r="Z17" s="203"/>
      <c r="AA17" s="205"/>
      <c r="AB17" s="202" t="str">
        <f t="shared" ref="AB17" si="134">HEX2BIN(AB16,4)</f>
        <v>1001</v>
      </c>
      <c r="AC17" s="203"/>
      <c r="AD17" s="203"/>
      <c r="AE17" s="203"/>
      <c r="AF17" s="203" t="str">
        <f t="shared" ref="AF17" si="135">HEX2BIN(AF16,4)</f>
        <v>1000</v>
      </c>
      <c r="AG17" s="203"/>
      <c r="AH17" s="203"/>
      <c r="AI17" s="206"/>
      <c r="AJ17" s="202" t="str">
        <f t="shared" ref="AJ17" si="136">HEX2BIN(AJ16,4)</f>
        <v>0111</v>
      </c>
      <c r="AK17" s="203"/>
      <c r="AL17" s="203"/>
      <c r="AM17" s="203"/>
      <c r="AN17" s="203" t="str">
        <f t="shared" ref="AN17" si="137">HEX2BIN(AN16,4)</f>
        <v>0110</v>
      </c>
      <c r="AO17" s="203"/>
      <c r="AP17" s="203"/>
      <c r="AQ17" s="206"/>
      <c r="AR17" s="202" t="str">
        <f t="shared" ref="AR17" si="138">HEX2BIN(AR16,4)</f>
        <v>0101</v>
      </c>
      <c r="AS17" s="203"/>
      <c r="AT17" s="203"/>
      <c r="AU17" s="203"/>
      <c r="AV17" s="203" t="str">
        <f t="shared" ref="AV17" si="139">HEX2BIN(AV16,4)</f>
        <v>0100</v>
      </c>
      <c r="AW17" s="203"/>
      <c r="AX17" s="203"/>
      <c r="AY17" s="206"/>
      <c r="AZ17" s="202" t="str">
        <f t="shared" ref="AZ17" si="140">HEX2BIN(AZ16,4)</f>
        <v>0011</v>
      </c>
      <c r="BA17" s="203"/>
      <c r="BB17" s="203"/>
      <c r="BC17" s="203"/>
      <c r="BD17" s="203" t="str">
        <f t="shared" ref="BD17" si="141">HEX2BIN(BD16,4)</f>
        <v>0101</v>
      </c>
      <c r="BE17" s="203"/>
      <c r="BF17" s="203"/>
      <c r="BG17" s="206"/>
      <c r="BH17" s="202" t="str">
        <f t="shared" ref="BH17" si="142">HEX2BIN(BH16,4)</f>
        <v>0110</v>
      </c>
      <c r="BI17" s="203"/>
      <c r="BJ17" s="203"/>
      <c r="BK17" s="203"/>
      <c r="BL17" s="203" t="str">
        <f t="shared" ref="BL17" si="143">HEX2BIN(BL16,4)</f>
        <v>0110</v>
      </c>
      <c r="BM17" s="203"/>
      <c r="BN17" s="203"/>
      <c r="BO17" s="203"/>
      <c r="BP17" s="204" t="str">
        <f t="shared" ref="BP17" si="144">HEX2BIN(BP16,4)</f>
        <v>0111</v>
      </c>
      <c r="BQ17" s="203"/>
      <c r="BR17" s="203"/>
      <c r="BS17" s="203"/>
      <c r="BT17" s="205" t="str">
        <f t="shared" ref="BT17" si="145">HEX2BIN(BT16,4)</f>
        <v>1000</v>
      </c>
      <c r="BU17" s="207"/>
      <c r="BV17" s="207"/>
      <c r="BW17" s="204"/>
      <c r="BX17" s="205" t="str">
        <f t="shared" ref="BX17" si="146">HEX2BIN(BX16,4)</f>
        <v>1001</v>
      </c>
      <c r="BY17" s="207"/>
      <c r="BZ17" s="207"/>
      <c r="CA17" s="204"/>
      <c r="CB17" s="205" t="str">
        <f t="shared" ref="CB17" si="147">HEX2BIN(CB16,4)</f>
        <v>1001</v>
      </c>
      <c r="CC17" s="207"/>
      <c r="CD17" s="207"/>
      <c r="CE17" s="204"/>
      <c r="CF17" s="205" t="str">
        <f t="shared" ref="CF17" si="148">HEX2BIN(CF16,4)</f>
        <v>1000</v>
      </c>
      <c r="CG17" s="207"/>
      <c r="CH17" s="207"/>
      <c r="CI17" s="204"/>
      <c r="CJ17" s="205" t="str">
        <f t="shared" ref="CJ17" si="149">HEX2BIN(CJ16,4)</f>
        <v>0111</v>
      </c>
      <c r="CK17" s="207"/>
      <c r="CL17" s="207"/>
      <c r="CM17" s="204"/>
      <c r="CN17" s="205" t="str">
        <f t="shared" ref="CN17" si="150">HEX2BIN(CN16,4)</f>
        <v>0110</v>
      </c>
      <c r="CO17" s="207"/>
      <c r="CP17" s="207"/>
      <c r="CQ17" s="204"/>
      <c r="CR17" s="205" t="str">
        <f t="shared" ref="CR17" si="151">HEX2BIN(CR16,4)</f>
        <v>0101</v>
      </c>
      <c r="CS17" s="207"/>
      <c r="CT17" s="207"/>
      <c r="CU17" s="204"/>
      <c r="CV17" s="205" t="str">
        <f t="shared" ref="CV17" si="152">HEX2BIN(CV16,4)</f>
        <v>0100</v>
      </c>
      <c r="CW17" s="207"/>
      <c r="CX17" s="207"/>
      <c r="CY17" s="204"/>
      <c r="CZ17" s="205" t="str">
        <f t="shared" ref="CZ17" si="153">HEX2BIN(CZ16,4)</f>
        <v>0011</v>
      </c>
      <c r="DA17" s="207"/>
      <c r="DB17" s="207"/>
      <c r="DC17" s="204"/>
      <c r="DD17" s="205" t="str">
        <f t="shared" ref="DD17" si="154">HEX2BIN(DD16,4)</f>
        <v>0101</v>
      </c>
      <c r="DE17" s="207"/>
      <c r="DF17" s="207"/>
      <c r="DG17" s="204"/>
      <c r="DH17" s="205" t="str">
        <f t="shared" ref="DH17" si="155">HEX2BIN(DH16,4)</f>
        <v>0110</v>
      </c>
      <c r="DI17" s="207"/>
      <c r="DJ17" s="207"/>
      <c r="DK17" s="204"/>
      <c r="DL17" s="205" t="str">
        <f t="shared" ref="DL17" si="156">HEX2BIN(DL16,4)</f>
        <v>0110</v>
      </c>
      <c r="DM17" s="207"/>
      <c r="DN17" s="207"/>
      <c r="DO17" s="204"/>
      <c r="DP17" s="205" t="str">
        <f t="shared" ref="DP17" si="157">HEX2BIN(DP16,4)</f>
        <v>0111</v>
      </c>
      <c r="DQ17" s="207"/>
      <c r="DR17" s="207"/>
      <c r="DS17" s="204"/>
      <c r="DT17" s="205" t="str">
        <f t="shared" ref="DT17" si="158">HEX2BIN(DT16,4)</f>
        <v>1000</v>
      </c>
      <c r="DU17" s="207"/>
      <c r="DV17" s="207"/>
      <c r="DW17" s="204"/>
      <c r="DX17" s="205" t="str">
        <f t="shared" ref="DX17" si="159">HEX2BIN(DX16,4)</f>
        <v>0111</v>
      </c>
      <c r="DY17" s="207"/>
      <c r="DZ17" s="207"/>
      <c r="EA17" s="204"/>
      <c r="EB17" s="205" t="str">
        <f t="shared" ref="EB17" si="160">HEX2BIN(EB16,4)</f>
        <v>0110</v>
      </c>
      <c r="EC17" s="207"/>
      <c r="ED17" s="207"/>
      <c r="EE17" s="204"/>
      <c r="EF17" s="205" t="str">
        <f t="shared" ref="EF17" si="161">HEX2BIN(EF16,4)</f>
        <v>0101</v>
      </c>
      <c r="EG17" s="207"/>
      <c r="EH17" s="207"/>
      <c r="EI17" s="204"/>
      <c r="EJ17" s="205" t="str">
        <f t="shared" ref="EJ17" si="162">HEX2BIN(EJ16,4)</f>
        <v>0100</v>
      </c>
      <c r="EK17" s="207"/>
      <c r="EL17" s="207"/>
      <c r="EM17" s="204"/>
      <c r="EN17" s="205" t="str">
        <f t="shared" ref="EN17" si="163">HEX2BIN(EN16,4)</f>
        <v>0110</v>
      </c>
      <c r="EO17" s="207"/>
      <c r="EP17" s="207"/>
      <c r="EQ17" s="204"/>
      <c r="ER17" s="205" t="str">
        <f t="shared" ref="ER17" si="164">HEX2BIN(ER16,4)</f>
        <v>0111</v>
      </c>
      <c r="ES17" s="207"/>
      <c r="ET17" s="207"/>
      <c r="EU17" s="204"/>
      <c r="EV17" s="205" t="str">
        <f t="shared" ref="EV17" si="165">HEX2BIN(EV16,4)</f>
        <v>1000</v>
      </c>
      <c r="EW17" s="207"/>
      <c r="EX17" s="207"/>
      <c r="EY17" s="204"/>
      <c r="EZ17" s="205" t="str">
        <f t="shared" ref="EZ17" si="166">HEX2BIN(EZ16,4)</f>
        <v>0111</v>
      </c>
      <c r="FA17" s="207"/>
      <c r="FB17" s="207"/>
      <c r="FC17" s="204"/>
      <c r="FD17" s="205" t="str">
        <f t="shared" ref="FD17" si="167">HEX2BIN(FD16,4)</f>
        <v>0110</v>
      </c>
      <c r="FE17" s="207"/>
      <c r="FF17" s="207"/>
      <c r="FG17" s="204"/>
      <c r="FH17" s="205" t="str">
        <f t="shared" ref="FH17" si="168">HEX2BIN(FH16,4)</f>
        <v>0101</v>
      </c>
      <c r="FI17" s="207"/>
      <c r="FJ17" s="207"/>
      <c r="FK17" s="204"/>
      <c r="FL17" s="205" t="str">
        <f t="shared" ref="FL17" si="169">HEX2BIN(FL16,4)</f>
        <v>0110</v>
      </c>
      <c r="FM17" s="207"/>
      <c r="FN17" s="207"/>
      <c r="FO17" s="204"/>
      <c r="FP17" s="205" t="str">
        <f t="shared" ref="FP17" si="170">HEX2BIN(FP16,4)</f>
        <v>0111</v>
      </c>
      <c r="FQ17" s="207"/>
      <c r="FR17" s="207"/>
      <c r="FS17" s="204"/>
      <c r="FT17" s="205" t="str">
        <f t="shared" ref="FT17" si="171">HEX2BIN(FT16,4)</f>
        <v>1000</v>
      </c>
      <c r="FU17" s="207"/>
      <c r="FV17" s="207"/>
      <c r="FW17" s="204"/>
      <c r="FX17" s="205" t="str">
        <f t="shared" ref="FX17" si="172">HEX2BIN(FX16,4)</f>
        <v>0111</v>
      </c>
      <c r="FY17" s="207"/>
      <c r="FZ17" s="207"/>
      <c r="GA17" s="204"/>
      <c r="GB17" s="205" t="str">
        <f t="shared" ref="GB17" si="173">HEX2BIN(GB16,4)</f>
        <v>0110</v>
      </c>
      <c r="GC17" s="207"/>
      <c r="GD17" s="207"/>
      <c r="GE17" s="204"/>
      <c r="GF17" s="205" t="str">
        <f t="shared" ref="GF17" si="174">HEX2BIN(GF16,4)</f>
        <v>0101</v>
      </c>
      <c r="GG17" s="207"/>
      <c r="GH17" s="207"/>
      <c r="GI17" s="204"/>
      <c r="GJ17" s="205" t="str">
        <f t="shared" ref="GJ17" si="175">HEX2BIN(GJ16,4)</f>
        <v>0110</v>
      </c>
      <c r="GK17" s="207"/>
      <c r="GL17" s="207"/>
      <c r="GM17" s="204"/>
      <c r="GN17" s="205" t="str">
        <f t="shared" ref="GN17" si="176">HEX2BIN(GN16,4)</f>
        <v>0111</v>
      </c>
      <c r="GO17" s="207"/>
      <c r="GP17" s="207"/>
      <c r="GQ17" s="204"/>
      <c r="GR17" s="205" t="str">
        <f t="shared" ref="GR17" si="177">HEX2BIN(GR16,4)</f>
        <v>1000</v>
      </c>
      <c r="GS17" s="207"/>
      <c r="GT17" s="207"/>
      <c r="GU17" s="204"/>
      <c r="GV17" s="205" t="str">
        <f t="shared" ref="GV17" si="178">HEX2BIN(GV16,4)</f>
        <v>0111</v>
      </c>
      <c r="GW17" s="207"/>
      <c r="GX17" s="207"/>
      <c r="GY17" s="204"/>
      <c r="GZ17" s="205" t="str">
        <f t="shared" ref="GZ17" si="179">HEX2BIN(GZ16,4)</f>
        <v>0110</v>
      </c>
      <c r="HA17" s="207"/>
      <c r="HB17" s="207"/>
      <c r="HC17" s="204"/>
      <c r="HD17" s="205" t="str">
        <f t="shared" ref="HD17" si="180">HEX2BIN(HD16,4)</f>
        <v>0101</v>
      </c>
      <c r="HE17" s="207"/>
      <c r="HF17" s="207"/>
      <c r="HG17" s="204"/>
      <c r="HH17" s="205" t="str">
        <f t="shared" ref="HH17" si="181">HEX2BIN(HH16,4)</f>
        <v>0110</v>
      </c>
      <c r="HI17" s="207"/>
      <c r="HJ17" s="207"/>
      <c r="HK17" s="204"/>
      <c r="HL17" s="205" t="str">
        <f t="shared" ref="HL17" si="182">HEX2BIN(HL16,4)</f>
        <v>0111</v>
      </c>
      <c r="HM17" s="207"/>
      <c r="HN17" s="207"/>
      <c r="HO17" s="204"/>
      <c r="HP17" s="205" t="str">
        <f t="shared" ref="HP17" si="183">HEX2BIN(HP16,4)</f>
        <v>0111</v>
      </c>
      <c r="HQ17" s="207"/>
      <c r="HR17" s="207"/>
      <c r="HS17" s="204"/>
      <c r="HT17" s="205" t="str">
        <f t="shared" ref="HT17" si="184">HEX2BIN(HT16,4)</f>
        <v>1000</v>
      </c>
      <c r="HU17" s="207"/>
      <c r="HV17" s="207"/>
      <c r="HW17" s="204"/>
      <c r="HX17" s="205" t="str">
        <f t="shared" ref="HX17" si="185">HEX2BIN(HX16,4)</f>
        <v>0111</v>
      </c>
      <c r="HY17" s="207"/>
      <c r="HZ17" s="207"/>
      <c r="IA17" s="204"/>
      <c r="IB17" s="205" t="str">
        <f t="shared" ref="IB17" si="186">HEX2BIN(IB16,4)</f>
        <v>0110</v>
      </c>
      <c r="IC17" s="207"/>
      <c r="ID17" s="207"/>
      <c r="IE17" s="204"/>
      <c r="IF17" s="205" t="str">
        <f t="shared" ref="IF17" si="187">HEX2BIN(IF16,4)</f>
        <v>0101</v>
      </c>
      <c r="IG17" s="207"/>
      <c r="IH17" s="207"/>
      <c r="II17" s="204"/>
      <c r="IJ17" s="205" t="str">
        <f t="shared" ref="IJ17" si="188">HEX2BIN(IJ16,4)</f>
        <v>0101</v>
      </c>
      <c r="IK17" s="207"/>
      <c r="IL17" s="207"/>
      <c r="IM17" s="204"/>
      <c r="IN17" s="205" t="str">
        <f t="shared" ref="IN17" si="189">HEX2BIN(IN16,4)</f>
        <v>0101</v>
      </c>
      <c r="IO17" s="207"/>
      <c r="IP17" s="207"/>
      <c r="IQ17" s="204"/>
      <c r="IR17" s="205" t="str">
        <f t="shared" ref="IR17" si="190">HEX2BIN(IR16,4)</f>
        <v>0100</v>
      </c>
      <c r="IS17" s="207"/>
      <c r="IT17" s="207"/>
      <c r="IU17" s="204"/>
      <c r="IV17" s="205" t="str">
        <f t="shared" ref="IV17" si="191">HEX2BIN(IV16,4)</f>
        <v>0100</v>
      </c>
      <c r="IW17" s="207"/>
      <c r="IX17" s="207"/>
      <c r="IY17" s="204"/>
      <c r="IZ17" t="s">
        <v>227</v>
      </c>
    </row>
    <row r="18" spans="1:260" ht="14.4" thickBot="1">
      <c r="B18" t="s">
        <v>238</v>
      </c>
      <c r="D18" s="148" t="str">
        <f>LEFT(D17,1)</f>
        <v>0</v>
      </c>
      <c r="E18" s="149" t="str">
        <f>RIGHT(LEFT(D17,2),1)</f>
        <v>0</v>
      </c>
      <c r="F18" s="149" t="str">
        <f>RIGHT(LEFT(D17,3),1)</f>
        <v>1</v>
      </c>
      <c r="G18" s="149" t="str">
        <f>RIGHT(LEFT(D17,4),1)</f>
        <v>0</v>
      </c>
      <c r="H18" s="149" t="str">
        <f>LEFT(H17,1)</f>
        <v>1</v>
      </c>
      <c r="I18" s="149" t="str">
        <f>RIGHT(LEFT(H17,2),1)</f>
        <v>1</v>
      </c>
      <c r="J18" s="149" t="str">
        <f>RIGHT(LEFT(H17,3),1)</f>
        <v>0</v>
      </c>
      <c r="K18" s="150" t="str">
        <f>RIGHT(LEFT(H17,4),1)</f>
        <v>1</v>
      </c>
      <c r="L18" s="149" t="str">
        <f>LEFT(L17,1)</f>
        <v>0</v>
      </c>
      <c r="M18" s="149" t="str">
        <f>RIGHT(LEFT(L17,2),1)</f>
        <v>1</v>
      </c>
      <c r="N18" s="149" t="str">
        <f>RIGHT(LEFT(L17,3),1)</f>
        <v>0</v>
      </c>
      <c r="O18" s="150" t="str">
        <f>RIGHT(LEFT(L17,4),1)</f>
        <v>1</v>
      </c>
      <c r="P18" s="149" t="str">
        <f>LEFT(P17,1)</f>
        <v>1</v>
      </c>
      <c r="Q18" s="149" t="str">
        <f>RIGHT(LEFT(P17,2),1)</f>
        <v>0</v>
      </c>
      <c r="R18" s="149" t="str">
        <f>RIGHT(LEFT(P17,3),1)</f>
        <v>1</v>
      </c>
      <c r="S18" s="149" t="str">
        <f>RIGHT(LEFT(P17,4),1)</f>
        <v>0</v>
      </c>
      <c r="T18" s="151" t="str">
        <f>LEFT(T17,1)</f>
        <v>1</v>
      </c>
      <c r="U18" s="149" t="str">
        <f>RIGHT(LEFT(T17,2),1)</f>
        <v>1</v>
      </c>
      <c r="V18" s="149" t="str">
        <f>RIGHT(LEFT(T17,3),1)</f>
        <v>0</v>
      </c>
      <c r="W18" s="149" t="str">
        <f>RIGHT(LEFT(T17,4),1)</f>
        <v>1</v>
      </c>
      <c r="X18" s="149" t="str">
        <f>LEFT(X17,1)</f>
        <v>0</v>
      </c>
      <c r="Y18" s="149" t="str">
        <f>RIGHT(LEFT(X17,2),1)</f>
        <v>0</v>
      </c>
      <c r="Z18" s="149" t="str">
        <f>RIGHT(LEFT(X17,3),1)</f>
        <v>0</v>
      </c>
      <c r="AA18" s="150" t="str">
        <f>RIGHT(LEFT(X17,4),1)</f>
        <v>0</v>
      </c>
      <c r="AB18" s="148" t="str">
        <f>LEFT(AB17,1)</f>
        <v>1</v>
      </c>
      <c r="AC18" s="149" t="str">
        <f>RIGHT(LEFT(AB17,2),1)</f>
        <v>0</v>
      </c>
      <c r="AD18" s="149" t="str">
        <f>RIGHT(LEFT(AB17,3),1)</f>
        <v>0</v>
      </c>
      <c r="AE18" s="149" t="str">
        <f>RIGHT(LEFT(AB17,4),1)</f>
        <v>1</v>
      </c>
      <c r="AF18" s="149" t="str">
        <f>LEFT(AF17,1)</f>
        <v>1</v>
      </c>
      <c r="AG18" s="149" t="str">
        <f>RIGHT(LEFT(AF17,2),1)</f>
        <v>0</v>
      </c>
      <c r="AH18" s="149" t="str">
        <f>RIGHT(LEFT(AF17,3),1)</f>
        <v>0</v>
      </c>
      <c r="AI18" s="152" t="str">
        <f>RIGHT(LEFT(AF17,4),1)</f>
        <v>0</v>
      </c>
      <c r="AJ18" s="148" t="str">
        <f>LEFT(AJ17,1)</f>
        <v>0</v>
      </c>
      <c r="AK18" s="149" t="str">
        <f>RIGHT(LEFT(AJ17,2),1)</f>
        <v>1</v>
      </c>
      <c r="AL18" s="149" t="str">
        <f>RIGHT(LEFT(AJ17,3),1)</f>
        <v>1</v>
      </c>
      <c r="AM18" s="149" t="str">
        <f>RIGHT(LEFT(AJ17,4),1)</f>
        <v>1</v>
      </c>
      <c r="AN18" s="149" t="str">
        <f>LEFT(AN17,1)</f>
        <v>0</v>
      </c>
      <c r="AO18" s="149" t="str">
        <f>RIGHT(LEFT(AN17,2),1)</f>
        <v>1</v>
      </c>
      <c r="AP18" s="149" t="str">
        <f>RIGHT(LEFT(AN17,3),1)</f>
        <v>1</v>
      </c>
      <c r="AQ18" s="152" t="str">
        <f>RIGHT(LEFT(AN17,4),1)</f>
        <v>0</v>
      </c>
      <c r="AR18" s="148" t="str">
        <f>LEFT(AR17,1)</f>
        <v>0</v>
      </c>
      <c r="AS18" s="149" t="str">
        <f>RIGHT(LEFT(AR17,2),1)</f>
        <v>1</v>
      </c>
      <c r="AT18" s="149" t="str">
        <f>RIGHT(LEFT(AR17,3),1)</f>
        <v>0</v>
      </c>
      <c r="AU18" s="149" t="str">
        <f>RIGHT(LEFT(AR17,4),1)</f>
        <v>1</v>
      </c>
      <c r="AV18" s="149" t="str">
        <f>LEFT(AV17,1)</f>
        <v>0</v>
      </c>
      <c r="AW18" s="149" t="str">
        <f>RIGHT(LEFT(AV17,2),1)</f>
        <v>1</v>
      </c>
      <c r="AX18" s="149" t="str">
        <f>RIGHT(LEFT(AV17,3),1)</f>
        <v>0</v>
      </c>
      <c r="AY18" s="152" t="str">
        <f>RIGHT(LEFT(AV17,4),1)</f>
        <v>0</v>
      </c>
      <c r="AZ18" s="148" t="str">
        <f>LEFT(AZ17,1)</f>
        <v>0</v>
      </c>
      <c r="BA18" s="149" t="str">
        <f>RIGHT(LEFT(AZ17,2),1)</f>
        <v>0</v>
      </c>
      <c r="BB18" s="149" t="str">
        <f>RIGHT(LEFT(AZ17,3),1)</f>
        <v>1</v>
      </c>
      <c r="BC18" s="149" t="str">
        <f>RIGHT(LEFT(AZ17,4),1)</f>
        <v>1</v>
      </c>
      <c r="BD18" s="149" t="str">
        <f>LEFT(BD17,1)</f>
        <v>0</v>
      </c>
      <c r="BE18" s="149" t="str">
        <f>RIGHT(LEFT(BD17,2),1)</f>
        <v>1</v>
      </c>
      <c r="BF18" s="149" t="str">
        <f>RIGHT(LEFT(BD17,3),1)</f>
        <v>0</v>
      </c>
      <c r="BG18" s="152" t="str">
        <f>RIGHT(LEFT(BD17,4),1)</f>
        <v>1</v>
      </c>
      <c r="BH18" s="148" t="str">
        <f>LEFT(BH17,1)</f>
        <v>0</v>
      </c>
      <c r="BI18" s="149" t="str">
        <f>RIGHT(LEFT(BH17,2),1)</f>
        <v>1</v>
      </c>
      <c r="BJ18" s="149" t="str">
        <f>RIGHT(LEFT(BH17,3),1)</f>
        <v>1</v>
      </c>
      <c r="BK18" s="149" t="str">
        <f>RIGHT(LEFT(BH17,4),1)</f>
        <v>0</v>
      </c>
      <c r="BL18" s="149" t="str">
        <f>LEFT(BL17,1)</f>
        <v>0</v>
      </c>
      <c r="BM18" s="149" t="str">
        <f>RIGHT(LEFT(BL17,2),1)</f>
        <v>1</v>
      </c>
      <c r="BN18" s="149" t="str">
        <f>RIGHT(LEFT(BL17,3),1)</f>
        <v>1</v>
      </c>
      <c r="BO18" s="149" t="str">
        <f>RIGHT(LEFT(BL17,4),1)</f>
        <v>0</v>
      </c>
      <c r="BP18" s="151" t="str">
        <f>LEFT(BP17,1)</f>
        <v>0</v>
      </c>
      <c r="BQ18" s="149" t="str">
        <f>RIGHT(LEFT(BP17,2),1)</f>
        <v>1</v>
      </c>
      <c r="BR18" s="149" t="str">
        <f>RIGHT(LEFT(BP17,3),1)</f>
        <v>1</v>
      </c>
      <c r="BS18" s="149" t="str">
        <f>RIGHT(LEFT(BP17,4),1)</f>
        <v>1</v>
      </c>
      <c r="BT18" s="151" t="str">
        <f>LEFT(BT17,1)</f>
        <v>1</v>
      </c>
      <c r="BU18" s="149" t="str">
        <f>RIGHT(LEFT(BT17,2),1)</f>
        <v>0</v>
      </c>
      <c r="BV18" s="149" t="str">
        <f>RIGHT(LEFT(BT17,3),1)</f>
        <v>0</v>
      </c>
      <c r="BW18" s="149" t="str">
        <f>RIGHT(LEFT(BT17,4),1)</f>
        <v>0</v>
      </c>
      <c r="BX18" s="151" t="str">
        <f>LEFT(BX17,1)</f>
        <v>1</v>
      </c>
      <c r="BY18" s="149" t="str">
        <f>RIGHT(LEFT(BX17,2),1)</f>
        <v>0</v>
      </c>
      <c r="BZ18" s="149" t="str">
        <f>RIGHT(LEFT(BX17,3),1)</f>
        <v>0</v>
      </c>
      <c r="CA18" s="149" t="str">
        <f>RIGHT(LEFT(BX17,4),1)</f>
        <v>1</v>
      </c>
      <c r="CB18" s="151" t="str">
        <f>LEFT(CB17,1)</f>
        <v>1</v>
      </c>
      <c r="CC18" s="149" t="str">
        <f>RIGHT(LEFT(CB17,2),1)</f>
        <v>0</v>
      </c>
      <c r="CD18" s="149" t="str">
        <f>RIGHT(LEFT(CB17,3),1)</f>
        <v>0</v>
      </c>
      <c r="CE18" s="149" t="str">
        <f>RIGHT(LEFT(CB17,4),1)</f>
        <v>1</v>
      </c>
      <c r="CF18" s="151" t="str">
        <f>LEFT(CF17,1)</f>
        <v>1</v>
      </c>
      <c r="CG18" s="149" t="str">
        <f>RIGHT(LEFT(CF17,2),1)</f>
        <v>0</v>
      </c>
      <c r="CH18" s="149" t="str">
        <f>RIGHT(LEFT(CF17,3),1)</f>
        <v>0</v>
      </c>
      <c r="CI18" s="149" t="str">
        <f>RIGHT(LEFT(CF17,4),1)</f>
        <v>0</v>
      </c>
      <c r="CJ18" s="151" t="str">
        <f>LEFT(CJ17,1)</f>
        <v>0</v>
      </c>
      <c r="CK18" s="149" t="str">
        <f>RIGHT(LEFT(CJ17,2),1)</f>
        <v>1</v>
      </c>
      <c r="CL18" s="149" t="str">
        <f>RIGHT(LEFT(CJ17,3),1)</f>
        <v>1</v>
      </c>
      <c r="CM18" s="149" t="str">
        <f>RIGHT(LEFT(CJ17,4),1)</f>
        <v>1</v>
      </c>
      <c r="CN18" s="151" t="str">
        <f>LEFT(CN17,1)</f>
        <v>0</v>
      </c>
      <c r="CO18" s="149" t="str">
        <f>RIGHT(LEFT(CN17,2),1)</f>
        <v>1</v>
      </c>
      <c r="CP18" s="149" t="str">
        <f>RIGHT(LEFT(CN17,3),1)</f>
        <v>1</v>
      </c>
      <c r="CQ18" s="149" t="str">
        <f>RIGHT(LEFT(CN17,4),1)</f>
        <v>0</v>
      </c>
      <c r="CR18" s="151" t="str">
        <f>LEFT(CR17,1)</f>
        <v>0</v>
      </c>
      <c r="CS18" s="149" t="str">
        <f>RIGHT(LEFT(CR17,2),1)</f>
        <v>1</v>
      </c>
      <c r="CT18" s="149" t="str">
        <f>RIGHT(LEFT(CR17,3),1)</f>
        <v>0</v>
      </c>
      <c r="CU18" s="149" t="str">
        <f>RIGHT(LEFT(CR17,4),1)</f>
        <v>1</v>
      </c>
      <c r="CV18" s="151" t="str">
        <f>LEFT(CV17,1)</f>
        <v>0</v>
      </c>
      <c r="CW18" s="149" t="str">
        <f>RIGHT(LEFT(CV17,2),1)</f>
        <v>1</v>
      </c>
      <c r="CX18" s="149" t="str">
        <f>RIGHT(LEFT(CV17,3),1)</f>
        <v>0</v>
      </c>
      <c r="CY18" s="149" t="str">
        <f>RIGHT(LEFT(CV17,4),1)</f>
        <v>0</v>
      </c>
      <c r="CZ18" s="151" t="str">
        <f>LEFT(CZ17,1)</f>
        <v>0</v>
      </c>
      <c r="DA18" s="149" t="str">
        <f>RIGHT(LEFT(CZ17,2),1)</f>
        <v>0</v>
      </c>
      <c r="DB18" s="149" t="str">
        <f>RIGHT(LEFT(CZ17,3),1)</f>
        <v>1</v>
      </c>
      <c r="DC18" s="149" t="str">
        <f>RIGHT(LEFT(CZ17,4),1)</f>
        <v>1</v>
      </c>
      <c r="DD18" s="151" t="str">
        <f>LEFT(DD17,1)</f>
        <v>0</v>
      </c>
      <c r="DE18" s="149" t="str">
        <f>RIGHT(LEFT(DD17,2),1)</f>
        <v>1</v>
      </c>
      <c r="DF18" s="149" t="str">
        <f>RIGHT(LEFT(DD17,3),1)</f>
        <v>0</v>
      </c>
      <c r="DG18" s="149" t="str">
        <f>RIGHT(LEFT(DD17,4),1)</f>
        <v>1</v>
      </c>
      <c r="DH18" s="151" t="str">
        <f>LEFT(DH17,1)</f>
        <v>0</v>
      </c>
      <c r="DI18" s="149" t="str">
        <f>RIGHT(LEFT(DH17,2),1)</f>
        <v>1</v>
      </c>
      <c r="DJ18" s="149" t="str">
        <f>RIGHT(LEFT(DH17,3),1)</f>
        <v>1</v>
      </c>
      <c r="DK18" s="149" t="str">
        <f>RIGHT(LEFT(DH17,4),1)</f>
        <v>0</v>
      </c>
      <c r="DL18" s="151" t="str">
        <f>LEFT(DL17,1)</f>
        <v>0</v>
      </c>
      <c r="DM18" s="149" t="str">
        <f>RIGHT(LEFT(DL17,2),1)</f>
        <v>1</v>
      </c>
      <c r="DN18" s="149" t="str">
        <f>RIGHT(LEFT(DL17,3),1)</f>
        <v>1</v>
      </c>
      <c r="DO18" s="149" t="str">
        <f>RIGHT(LEFT(DL17,4),1)</f>
        <v>0</v>
      </c>
      <c r="DP18" s="151" t="str">
        <f>LEFT(DP17,1)</f>
        <v>0</v>
      </c>
      <c r="DQ18" s="149" t="str">
        <f>RIGHT(LEFT(DP17,2),1)</f>
        <v>1</v>
      </c>
      <c r="DR18" s="149" t="str">
        <f>RIGHT(LEFT(DP17,3),1)</f>
        <v>1</v>
      </c>
      <c r="DS18" s="149" t="str">
        <f>RIGHT(LEFT(DP17,4),1)</f>
        <v>1</v>
      </c>
      <c r="DT18" s="151" t="str">
        <f>LEFT(DT17,1)</f>
        <v>1</v>
      </c>
      <c r="DU18" s="149" t="str">
        <f>RIGHT(LEFT(DT17,2),1)</f>
        <v>0</v>
      </c>
      <c r="DV18" s="149" t="str">
        <f>RIGHT(LEFT(DT17,3),1)</f>
        <v>0</v>
      </c>
      <c r="DW18" s="149" t="str">
        <f>RIGHT(LEFT(DT17,4),1)</f>
        <v>0</v>
      </c>
      <c r="DX18" s="151" t="str">
        <f>LEFT(DX17,1)</f>
        <v>0</v>
      </c>
      <c r="DY18" s="149" t="str">
        <f>RIGHT(LEFT(DX17,2),1)</f>
        <v>1</v>
      </c>
      <c r="DZ18" s="149" t="str">
        <f>RIGHT(LEFT(DX17,3),1)</f>
        <v>1</v>
      </c>
      <c r="EA18" s="149" t="str">
        <f>RIGHT(LEFT(DX17,4),1)</f>
        <v>1</v>
      </c>
      <c r="EB18" s="151" t="str">
        <f>LEFT(EB17,1)</f>
        <v>0</v>
      </c>
      <c r="EC18" s="149" t="str">
        <f>RIGHT(LEFT(EB17,2),1)</f>
        <v>1</v>
      </c>
      <c r="ED18" s="149" t="str">
        <f>RIGHT(LEFT(EB17,3),1)</f>
        <v>1</v>
      </c>
      <c r="EE18" s="149" t="str">
        <f>RIGHT(LEFT(EB17,4),1)</f>
        <v>0</v>
      </c>
      <c r="EF18" s="151" t="str">
        <f>LEFT(EF17,1)</f>
        <v>0</v>
      </c>
      <c r="EG18" s="149" t="str">
        <f>RIGHT(LEFT(EF17,2),1)</f>
        <v>1</v>
      </c>
      <c r="EH18" s="149" t="str">
        <f>RIGHT(LEFT(EF17,3),1)</f>
        <v>0</v>
      </c>
      <c r="EI18" s="149" t="str">
        <f>RIGHT(LEFT(EF17,4),1)</f>
        <v>1</v>
      </c>
      <c r="EJ18" s="151" t="str">
        <f>LEFT(EJ17,1)</f>
        <v>0</v>
      </c>
      <c r="EK18" s="149" t="str">
        <f>RIGHT(LEFT(EJ17,2),1)</f>
        <v>1</v>
      </c>
      <c r="EL18" s="149" t="str">
        <f>RIGHT(LEFT(EJ17,3),1)</f>
        <v>0</v>
      </c>
      <c r="EM18" s="149" t="str">
        <f>RIGHT(LEFT(EJ17,4),1)</f>
        <v>0</v>
      </c>
      <c r="EN18" s="151" t="str">
        <f>LEFT(EN17,1)</f>
        <v>0</v>
      </c>
      <c r="EO18" s="149" t="str">
        <f>RIGHT(LEFT(EN17,2),1)</f>
        <v>1</v>
      </c>
      <c r="EP18" s="149" t="str">
        <f>RIGHT(LEFT(EN17,3),1)</f>
        <v>1</v>
      </c>
      <c r="EQ18" s="149" t="str">
        <f>RIGHT(LEFT(EN17,4),1)</f>
        <v>0</v>
      </c>
      <c r="ER18" s="151" t="str">
        <f>LEFT(ER17,1)</f>
        <v>0</v>
      </c>
      <c r="ES18" s="149" t="str">
        <f>RIGHT(LEFT(ER17,2),1)</f>
        <v>1</v>
      </c>
      <c r="ET18" s="149" t="str">
        <f>RIGHT(LEFT(ER17,3),1)</f>
        <v>1</v>
      </c>
      <c r="EU18" s="149" t="str">
        <f>RIGHT(LEFT(ER17,4),1)</f>
        <v>1</v>
      </c>
      <c r="EV18" s="151" t="str">
        <f>LEFT(EV17,1)</f>
        <v>1</v>
      </c>
      <c r="EW18" s="149" t="str">
        <f>RIGHT(LEFT(EV17,2),1)</f>
        <v>0</v>
      </c>
      <c r="EX18" s="149" t="str">
        <f>RIGHT(LEFT(EV17,3),1)</f>
        <v>0</v>
      </c>
      <c r="EY18" s="149" t="str">
        <f>RIGHT(LEFT(EV17,4),1)</f>
        <v>0</v>
      </c>
      <c r="EZ18" s="151" t="str">
        <f>LEFT(EZ17,1)</f>
        <v>0</v>
      </c>
      <c r="FA18" s="149" t="str">
        <f>RIGHT(LEFT(EZ17,2),1)</f>
        <v>1</v>
      </c>
      <c r="FB18" s="149" t="str">
        <f>RIGHT(LEFT(EZ17,3),1)</f>
        <v>1</v>
      </c>
      <c r="FC18" s="149" t="str">
        <f>RIGHT(LEFT(EZ17,4),1)</f>
        <v>1</v>
      </c>
      <c r="FD18" s="151" t="str">
        <f>LEFT(FD17,1)</f>
        <v>0</v>
      </c>
      <c r="FE18" s="149" t="str">
        <f>RIGHT(LEFT(FD17,2),1)</f>
        <v>1</v>
      </c>
      <c r="FF18" s="149" t="str">
        <f>RIGHT(LEFT(FD17,3),1)</f>
        <v>1</v>
      </c>
      <c r="FG18" s="149" t="str">
        <f>RIGHT(LEFT(FD17,4),1)</f>
        <v>0</v>
      </c>
      <c r="FH18" s="151" t="str">
        <f>LEFT(FH17,1)</f>
        <v>0</v>
      </c>
      <c r="FI18" s="149" t="str">
        <f>RIGHT(LEFT(FH17,2),1)</f>
        <v>1</v>
      </c>
      <c r="FJ18" s="149" t="str">
        <f>RIGHT(LEFT(FH17,3),1)</f>
        <v>0</v>
      </c>
      <c r="FK18" s="149" t="str">
        <f>RIGHT(LEFT(FH17,4),1)</f>
        <v>1</v>
      </c>
      <c r="FL18" s="151" t="str">
        <f>LEFT(FL17,1)</f>
        <v>0</v>
      </c>
      <c r="FM18" s="149" t="str">
        <f>RIGHT(LEFT(FL17,2),1)</f>
        <v>1</v>
      </c>
      <c r="FN18" s="149" t="str">
        <f>RIGHT(LEFT(FL17,3),1)</f>
        <v>1</v>
      </c>
      <c r="FO18" s="149" t="str">
        <f>RIGHT(LEFT(FL17,4),1)</f>
        <v>0</v>
      </c>
      <c r="FP18" s="151" t="str">
        <f>LEFT(FP17,1)</f>
        <v>0</v>
      </c>
      <c r="FQ18" s="149" t="str">
        <f>RIGHT(LEFT(FP17,2),1)</f>
        <v>1</v>
      </c>
      <c r="FR18" s="149" t="str">
        <f>RIGHT(LEFT(FP17,3),1)</f>
        <v>1</v>
      </c>
      <c r="FS18" s="149" t="str">
        <f>RIGHT(LEFT(FP17,4),1)</f>
        <v>1</v>
      </c>
      <c r="FT18" s="151" t="str">
        <f>LEFT(FT17,1)</f>
        <v>1</v>
      </c>
      <c r="FU18" s="149" t="str">
        <f>RIGHT(LEFT(FT17,2),1)</f>
        <v>0</v>
      </c>
      <c r="FV18" s="149" t="str">
        <f>RIGHT(LEFT(FT17,3),1)</f>
        <v>0</v>
      </c>
      <c r="FW18" s="149" t="str">
        <f>RIGHT(LEFT(FT17,4),1)</f>
        <v>0</v>
      </c>
      <c r="FX18" s="151" t="str">
        <f>LEFT(FX17,1)</f>
        <v>0</v>
      </c>
      <c r="FY18" s="149" t="str">
        <f>RIGHT(LEFT(FX17,2),1)</f>
        <v>1</v>
      </c>
      <c r="FZ18" s="149" t="str">
        <f>RIGHT(LEFT(FX17,3),1)</f>
        <v>1</v>
      </c>
      <c r="GA18" s="149" t="str">
        <f>RIGHT(LEFT(FX17,4),1)</f>
        <v>1</v>
      </c>
      <c r="GB18" s="151" t="str">
        <f>LEFT(GB17,1)</f>
        <v>0</v>
      </c>
      <c r="GC18" s="149" t="str">
        <f>RIGHT(LEFT(GB17,2),1)</f>
        <v>1</v>
      </c>
      <c r="GD18" s="149" t="str">
        <f>RIGHT(LEFT(GB17,3),1)</f>
        <v>1</v>
      </c>
      <c r="GE18" s="149" t="str">
        <f>RIGHT(LEFT(GB17,4),1)</f>
        <v>0</v>
      </c>
      <c r="GF18" s="151" t="str">
        <f>LEFT(GF17,1)</f>
        <v>0</v>
      </c>
      <c r="GG18" s="149" t="str">
        <f>RIGHT(LEFT(GF17,2),1)</f>
        <v>1</v>
      </c>
      <c r="GH18" s="149" t="str">
        <f>RIGHT(LEFT(GF17,3),1)</f>
        <v>0</v>
      </c>
      <c r="GI18" s="149" t="str">
        <f>RIGHT(LEFT(GF17,4),1)</f>
        <v>1</v>
      </c>
      <c r="GJ18" s="151" t="str">
        <f>LEFT(GJ17,1)</f>
        <v>0</v>
      </c>
      <c r="GK18" s="149" t="str">
        <f>RIGHT(LEFT(GJ17,2),1)</f>
        <v>1</v>
      </c>
      <c r="GL18" s="149" t="str">
        <f>RIGHT(LEFT(GJ17,3),1)</f>
        <v>1</v>
      </c>
      <c r="GM18" s="149" t="str">
        <f>RIGHT(LEFT(GJ17,4),1)</f>
        <v>0</v>
      </c>
      <c r="GN18" s="151" t="str">
        <f>LEFT(GN17,1)</f>
        <v>0</v>
      </c>
      <c r="GO18" s="149" t="str">
        <f>RIGHT(LEFT(GN17,2),1)</f>
        <v>1</v>
      </c>
      <c r="GP18" s="149" t="str">
        <f>RIGHT(LEFT(GN17,3),1)</f>
        <v>1</v>
      </c>
      <c r="GQ18" s="149" t="str">
        <f>RIGHT(LEFT(GN17,4),1)</f>
        <v>1</v>
      </c>
      <c r="GR18" s="151" t="str">
        <f>LEFT(GR17,1)</f>
        <v>1</v>
      </c>
      <c r="GS18" s="149" t="str">
        <f>RIGHT(LEFT(GR17,2),1)</f>
        <v>0</v>
      </c>
      <c r="GT18" s="149" t="str">
        <f>RIGHT(LEFT(GR17,3),1)</f>
        <v>0</v>
      </c>
      <c r="GU18" s="149" t="str">
        <f>RIGHT(LEFT(GR17,4),1)</f>
        <v>0</v>
      </c>
      <c r="GV18" s="151" t="str">
        <f>LEFT(GV17,1)</f>
        <v>0</v>
      </c>
      <c r="GW18" s="149" t="str">
        <f>RIGHT(LEFT(GV17,2),1)</f>
        <v>1</v>
      </c>
      <c r="GX18" s="149" t="str">
        <f>RIGHT(LEFT(GV17,3),1)</f>
        <v>1</v>
      </c>
      <c r="GY18" s="149" t="str">
        <f>RIGHT(LEFT(GV17,4),1)</f>
        <v>1</v>
      </c>
      <c r="GZ18" s="151" t="str">
        <f>LEFT(GZ17,1)</f>
        <v>0</v>
      </c>
      <c r="HA18" s="149" t="str">
        <f>RIGHT(LEFT(GZ17,2),1)</f>
        <v>1</v>
      </c>
      <c r="HB18" s="149" t="str">
        <f>RIGHT(LEFT(GZ17,3),1)</f>
        <v>1</v>
      </c>
      <c r="HC18" s="149" t="str">
        <f>RIGHT(LEFT(GZ17,4),1)</f>
        <v>0</v>
      </c>
      <c r="HD18" s="151" t="str">
        <f>LEFT(HD17,1)</f>
        <v>0</v>
      </c>
      <c r="HE18" s="149" t="str">
        <f>RIGHT(LEFT(HD17,2),1)</f>
        <v>1</v>
      </c>
      <c r="HF18" s="149" t="str">
        <f>RIGHT(LEFT(HD17,3),1)</f>
        <v>0</v>
      </c>
      <c r="HG18" s="149" t="str">
        <f>RIGHT(LEFT(HD17,4),1)</f>
        <v>1</v>
      </c>
      <c r="HH18" s="151" t="str">
        <f>LEFT(HH17,1)</f>
        <v>0</v>
      </c>
      <c r="HI18" s="149" t="str">
        <f>RIGHT(LEFT(HH17,2),1)</f>
        <v>1</v>
      </c>
      <c r="HJ18" s="149" t="str">
        <f>RIGHT(LEFT(HH17,3),1)</f>
        <v>1</v>
      </c>
      <c r="HK18" s="149" t="str">
        <f>RIGHT(LEFT(HH17,4),1)</f>
        <v>0</v>
      </c>
      <c r="HL18" s="151" t="str">
        <f>LEFT(HL17,1)</f>
        <v>0</v>
      </c>
      <c r="HM18" s="149" t="str">
        <f>RIGHT(LEFT(HL17,2),1)</f>
        <v>1</v>
      </c>
      <c r="HN18" s="149" t="str">
        <f>RIGHT(LEFT(HL17,3),1)</f>
        <v>1</v>
      </c>
      <c r="HO18" s="149" t="str">
        <f>RIGHT(LEFT(HL17,4),1)</f>
        <v>1</v>
      </c>
      <c r="HP18" s="151" t="str">
        <f>LEFT(HP17,1)</f>
        <v>0</v>
      </c>
      <c r="HQ18" s="149" t="str">
        <f>RIGHT(LEFT(HP17,2),1)</f>
        <v>1</v>
      </c>
      <c r="HR18" s="149" t="str">
        <f>RIGHT(LEFT(HP17,3),1)</f>
        <v>1</v>
      </c>
      <c r="HS18" s="149" t="str">
        <f>RIGHT(LEFT(HP17,4),1)</f>
        <v>1</v>
      </c>
      <c r="HT18" s="151" t="str">
        <f>LEFT(HT17,1)</f>
        <v>1</v>
      </c>
      <c r="HU18" s="149" t="str">
        <f>RIGHT(LEFT(HT17,2),1)</f>
        <v>0</v>
      </c>
      <c r="HV18" s="149" t="str">
        <f>RIGHT(LEFT(HT17,3),1)</f>
        <v>0</v>
      </c>
      <c r="HW18" s="149" t="str">
        <f>RIGHT(LEFT(HT17,4),1)</f>
        <v>0</v>
      </c>
      <c r="HX18" s="151" t="str">
        <f>LEFT(HX17,1)</f>
        <v>0</v>
      </c>
      <c r="HY18" s="149" t="str">
        <f>RIGHT(LEFT(HX17,2),1)</f>
        <v>1</v>
      </c>
      <c r="HZ18" s="149" t="str">
        <f>RIGHT(LEFT(HX17,3),1)</f>
        <v>1</v>
      </c>
      <c r="IA18" s="149" t="str">
        <f>RIGHT(LEFT(HX17,4),1)</f>
        <v>1</v>
      </c>
      <c r="IB18" s="151" t="str">
        <f>LEFT(IB17,1)</f>
        <v>0</v>
      </c>
      <c r="IC18" s="149" t="str">
        <f>RIGHT(LEFT(IB17,2),1)</f>
        <v>1</v>
      </c>
      <c r="ID18" s="149" t="str">
        <f>RIGHT(LEFT(IB17,3),1)</f>
        <v>1</v>
      </c>
      <c r="IE18" s="149" t="str">
        <f>RIGHT(LEFT(IB17,4),1)</f>
        <v>0</v>
      </c>
      <c r="IF18" s="151" t="str">
        <f>LEFT(IF17,1)</f>
        <v>0</v>
      </c>
      <c r="IG18" s="149" t="str">
        <f>RIGHT(LEFT(IF17,2),1)</f>
        <v>1</v>
      </c>
      <c r="IH18" s="149" t="str">
        <f>RIGHT(LEFT(IF17,3),1)</f>
        <v>0</v>
      </c>
      <c r="II18" s="149" t="str">
        <f>RIGHT(LEFT(IF17,4),1)</f>
        <v>1</v>
      </c>
      <c r="IJ18" s="151" t="str">
        <f>LEFT(IJ17,1)</f>
        <v>0</v>
      </c>
      <c r="IK18" s="149" t="str">
        <f>RIGHT(LEFT(IJ17,2),1)</f>
        <v>1</v>
      </c>
      <c r="IL18" s="149" t="str">
        <f>RIGHT(LEFT(IJ17,3),1)</f>
        <v>0</v>
      </c>
      <c r="IM18" s="149" t="str">
        <f>RIGHT(LEFT(IJ17,4),1)</f>
        <v>1</v>
      </c>
      <c r="IN18" s="151" t="str">
        <f>LEFT(IN17,1)</f>
        <v>0</v>
      </c>
      <c r="IO18" s="149" t="str">
        <f>RIGHT(LEFT(IN17,2),1)</f>
        <v>1</v>
      </c>
      <c r="IP18" s="149" t="str">
        <f>RIGHT(LEFT(IN17,3),1)</f>
        <v>0</v>
      </c>
      <c r="IQ18" s="149" t="str">
        <f>RIGHT(LEFT(IN17,4),1)</f>
        <v>1</v>
      </c>
      <c r="IR18" s="151" t="str">
        <f>LEFT(IR17,1)</f>
        <v>0</v>
      </c>
      <c r="IS18" s="149" t="str">
        <f>RIGHT(LEFT(IR17,2),1)</f>
        <v>1</v>
      </c>
      <c r="IT18" s="149" t="str">
        <f>RIGHT(LEFT(IR17,3),1)</f>
        <v>0</v>
      </c>
      <c r="IU18" s="149" t="str">
        <f>RIGHT(LEFT(IR17,4),1)</f>
        <v>0</v>
      </c>
      <c r="IV18" s="151" t="str">
        <f>LEFT(IV17,1)</f>
        <v>0</v>
      </c>
      <c r="IW18" s="149" t="str">
        <f>RIGHT(LEFT(IV17,2),1)</f>
        <v>1</v>
      </c>
      <c r="IX18" s="149" t="str">
        <f>RIGHT(LEFT(IV17,3),1)</f>
        <v>0</v>
      </c>
      <c r="IY18" s="149" t="str">
        <f>RIGHT(LEFT(IV17,4),1)</f>
        <v>0</v>
      </c>
      <c r="IZ18" t="s">
        <v>227</v>
      </c>
    </row>
    <row r="19" spans="1:260">
      <c r="D19" s="153"/>
      <c r="E19" s="153"/>
      <c r="F19" s="153"/>
      <c r="G19" s="153"/>
      <c r="H19" s="153"/>
      <c r="I19" s="153"/>
      <c r="J19" s="153"/>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153"/>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c r="FC19" s="153"/>
      <c r="FD19" s="153"/>
      <c r="FE19" s="153"/>
      <c r="FF19" s="153"/>
      <c r="FG19" s="153"/>
      <c r="FH19" s="153"/>
      <c r="FI19" s="153"/>
      <c r="FJ19" s="153"/>
      <c r="FK19" s="153"/>
      <c r="FL19" s="153"/>
      <c r="FM19" s="153"/>
      <c r="FN19" s="153"/>
      <c r="FO19" s="153"/>
      <c r="FP19" s="153"/>
      <c r="FQ19" s="153"/>
      <c r="FR19" s="153"/>
      <c r="FS19" s="153"/>
      <c r="FT19" s="153"/>
      <c r="FU19" s="153"/>
      <c r="FV19" s="153"/>
      <c r="FW19" s="153"/>
      <c r="FX19" s="153"/>
      <c r="FY19" s="153"/>
      <c r="FZ19" s="153"/>
      <c r="GA19" s="153"/>
      <c r="GB19" s="153"/>
      <c r="GC19" s="153"/>
      <c r="GD19" s="153"/>
      <c r="GE19" s="153"/>
      <c r="GF19" s="153"/>
      <c r="GG19" s="153"/>
      <c r="GH19" s="153"/>
      <c r="GI19" s="153"/>
      <c r="GJ19" s="153"/>
      <c r="GK19" s="153"/>
      <c r="GL19" s="153"/>
      <c r="GM19" s="153"/>
      <c r="GN19" s="153"/>
      <c r="GO19" s="153"/>
      <c r="GP19" s="153"/>
      <c r="GQ19" s="153"/>
      <c r="GR19" s="153"/>
      <c r="GS19" s="153"/>
      <c r="GT19" s="153"/>
      <c r="GU19" s="153"/>
      <c r="GV19" s="153"/>
      <c r="GW19" s="153"/>
      <c r="GX19" s="153"/>
      <c r="GY19" s="153"/>
      <c r="GZ19" s="153"/>
      <c r="HA19" s="153"/>
      <c r="HB19" s="153"/>
      <c r="HC19" s="153"/>
      <c r="HD19" s="153"/>
      <c r="HE19" s="153"/>
      <c r="HF19" s="153"/>
      <c r="HG19" s="153"/>
      <c r="HH19" s="153"/>
      <c r="HI19" s="153"/>
      <c r="HJ19" s="153"/>
      <c r="HK19" s="153"/>
      <c r="HL19" s="153"/>
      <c r="HM19" s="153"/>
      <c r="HN19" s="153"/>
      <c r="HO19" s="153"/>
      <c r="HP19" s="153"/>
      <c r="HQ19" s="153"/>
      <c r="HR19" s="153"/>
      <c r="HS19" s="153"/>
      <c r="HT19" s="153"/>
      <c r="HU19" s="153"/>
      <c r="HV19" s="153"/>
      <c r="HW19" s="153"/>
      <c r="HX19" s="153"/>
      <c r="HY19" s="153"/>
      <c r="HZ19" s="153"/>
      <c r="IA19" s="153"/>
      <c r="IB19" s="153"/>
      <c r="IC19" s="153"/>
      <c r="ID19" s="153"/>
      <c r="IE19" s="153"/>
      <c r="IF19" s="153"/>
      <c r="IG19" s="153"/>
      <c r="IH19" s="153"/>
      <c r="II19" s="153"/>
      <c r="IJ19" s="153"/>
      <c r="IK19" s="153"/>
      <c r="IL19" s="153"/>
      <c r="IM19" s="153"/>
      <c r="IN19" s="153"/>
      <c r="IO19" s="153"/>
      <c r="IP19" s="153"/>
      <c r="IQ19" s="153"/>
      <c r="IR19" s="153"/>
      <c r="IS19" s="153"/>
      <c r="IT19" s="153"/>
      <c r="IU19" s="153"/>
      <c r="IV19" s="153"/>
      <c r="IW19" s="153"/>
      <c r="IX19" s="153"/>
      <c r="IY19" s="153"/>
      <c r="IZ19" t="s">
        <v>227</v>
      </c>
    </row>
    <row r="20" spans="1:260">
      <c r="B20" t="s">
        <v>241</v>
      </c>
      <c r="D20" s="154">
        <f>_xlfn.BITXOR(D11,D18)</f>
        <v>1</v>
      </c>
      <c r="E20" s="154">
        <f t="shared" ref="E20:BP20" si="192">_xlfn.BITXOR(E11,E18)</f>
        <v>1</v>
      </c>
      <c r="F20" s="154">
        <f t="shared" si="192"/>
        <v>1</v>
      </c>
      <c r="G20" s="154">
        <f t="shared" si="192"/>
        <v>1</v>
      </c>
      <c r="H20" s="154">
        <f t="shared" si="192"/>
        <v>1</v>
      </c>
      <c r="I20" s="154">
        <f t="shared" si="192"/>
        <v>0</v>
      </c>
      <c r="J20" s="154">
        <f t="shared" si="192"/>
        <v>0</v>
      </c>
      <c r="K20" s="154">
        <f t="shared" si="192"/>
        <v>0</v>
      </c>
      <c r="L20" s="154">
        <f t="shared" si="192"/>
        <v>1</v>
      </c>
      <c r="M20" s="154">
        <f t="shared" si="192"/>
        <v>1</v>
      </c>
      <c r="N20" s="154">
        <f t="shared" si="192"/>
        <v>0</v>
      </c>
      <c r="O20" s="154">
        <f t="shared" si="192"/>
        <v>1</v>
      </c>
      <c r="P20" s="154">
        <f t="shared" si="192"/>
        <v>0</v>
      </c>
      <c r="Q20" s="154">
        <f t="shared" si="192"/>
        <v>0</v>
      </c>
      <c r="R20" s="154">
        <f t="shared" si="192"/>
        <v>1</v>
      </c>
      <c r="S20" s="154">
        <f t="shared" si="192"/>
        <v>1</v>
      </c>
      <c r="T20" s="154">
        <f t="shared" si="192"/>
        <v>0</v>
      </c>
      <c r="U20" s="154">
        <f t="shared" si="192"/>
        <v>0</v>
      </c>
      <c r="V20" s="154">
        <f t="shared" si="192"/>
        <v>0</v>
      </c>
      <c r="W20" s="154">
        <f t="shared" si="192"/>
        <v>0</v>
      </c>
      <c r="X20" s="154">
        <f t="shared" si="192"/>
        <v>1</v>
      </c>
      <c r="Y20" s="154">
        <f t="shared" si="192"/>
        <v>1</v>
      </c>
      <c r="Z20" s="154">
        <f t="shared" si="192"/>
        <v>1</v>
      </c>
      <c r="AA20" s="154">
        <f t="shared" si="192"/>
        <v>1</v>
      </c>
      <c r="AB20" s="154">
        <f t="shared" si="192"/>
        <v>0</v>
      </c>
      <c r="AC20" s="154">
        <f t="shared" si="192"/>
        <v>1</v>
      </c>
      <c r="AD20" s="154">
        <f t="shared" si="192"/>
        <v>1</v>
      </c>
      <c r="AE20" s="154">
        <f t="shared" si="192"/>
        <v>0</v>
      </c>
      <c r="AF20" s="154">
        <f t="shared" si="192"/>
        <v>0</v>
      </c>
      <c r="AG20" s="154">
        <f t="shared" si="192"/>
        <v>1</v>
      </c>
      <c r="AH20" s="154">
        <f t="shared" si="192"/>
        <v>1</v>
      </c>
      <c r="AI20" s="154">
        <f t="shared" si="192"/>
        <v>1</v>
      </c>
      <c r="AJ20" s="154">
        <f t="shared" si="192"/>
        <v>1</v>
      </c>
      <c r="AK20" s="154">
        <f t="shared" si="192"/>
        <v>0</v>
      </c>
      <c r="AL20" s="154">
        <f t="shared" si="192"/>
        <v>0</v>
      </c>
      <c r="AM20" s="154">
        <f t="shared" si="192"/>
        <v>0</v>
      </c>
      <c r="AN20" s="154">
        <f t="shared" si="192"/>
        <v>1</v>
      </c>
      <c r="AO20" s="154">
        <f t="shared" si="192"/>
        <v>0</v>
      </c>
      <c r="AP20" s="154">
        <f t="shared" si="192"/>
        <v>0</v>
      </c>
      <c r="AQ20" s="154">
        <f t="shared" si="192"/>
        <v>1</v>
      </c>
      <c r="AR20" s="154">
        <f t="shared" si="192"/>
        <v>1</v>
      </c>
      <c r="AS20" s="154">
        <f t="shared" si="192"/>
        <v>0</v>
      </c>
      <c r="AT20" s="154">
        <f t="shared" si="192"/>
        <v>1</v>
      </c>
      <c r="AU20" s="154">
        <f t="shared" si="192"/>
        <v>0</v>
      </c>
      <c r="AV20" s="154">
        <f t="shared" si="192"/>
        <v>1</v>
      </c>
      <c r="AW20" s="154">
        <f t="shared" si="192"/>
        <v>0</v>
      </c>
      <c r="AX20" s="154">
        <f t="shared" si="192"/>
        <v>1</v>
      </c>
      <c r="AY20" s="154">
        <f t="shared" si="192"/>
        <v>1</v>
      </c>
      <c r="AZ20" s="154">
        <f t="shared" si="192"/>
        <v>1</v>
      </c>
      <c r="BA20" s="154">
        <f t="shared" si="192"/>
        <v>1</v>
      </c>
      <c r="BB20" s="154">
        <f t="shared" si="192"/>
        <v>0</v>
      </c>
      <c r="BC20" s="154">
        <f t="shared" si="192"/>
        <v>0</v>
      </c>
      <c r="BD20" s="154">
        <f t="shared" si="192"/>
        <v>1</v>
      </c>
      <c r="BE20" s="154">
        <f t="shared" si="192"/>
        <v>0</v>
      </c>
      <c r="BF20" s="154">
        <f t="shared" si="192"/>
        <v>1</v>
      </c>
      <c r="BG20" s="154">
        <f t="shared" si="192"/>
        <v>0</v>
      </c>
      <c r="BH20" s="154">
        <f t="shared" si="192"/>
        <v>1</v>
      </c>
      <c r="BI20" s="154">
        <f t="shared" si="192"/>
        <v>0</v>
      </c>
      <c r="BJ20" s="154">
        <f t="shared" si="192"/>
        <v>0</v>
      </c>
      <c r="BK20" s="154">
        <f t="shared" si="192"/>
        <v>1</v>
      </c>
      <c r="BL20" s="154">
        <f t="shared" si="192"/>
        <v>1</v>
      </c>
      <c r="BM20" s="154">
        <f t="shared" si="192"/>
        <v>0</v>
      </c>
      <c r="BN20" s="154">
        <f t="shared" si="192"/>
        <v>0</v>
      </c>
      <c r="BO20" s="154">
        <f t="shared" si="192"/>
        <v>1</v>
      </c>
      <c r="BP20" s="154">
        <f t="shared" si="192"/>
        <v>1</v>
      </c>
      <c r="BQ20" s="154">
        <f t="shared" ref="BQ20:EB20" si="193">_xlfn.BITXOR(BQ11,BQ18)</f>
        <v>0</v>
      </c>
      <c r="BR20" s="154">
        <f t="shared" si="193"/>
        <v>0</v>
      </c>
      <c r="BS20" s="154">
        <f t="shared" si="193"/>
        <v>1</v>
      </c>
      <c r="BT20" s="154">
        <f t="shared" si="193"/>
        <v>1</v>
      </c>
      <c r="BU20" s="154">
        <f t="shared" si="193"/>
        <v>0</v>
      </c>
      <c r="BV20" s="154">
        <f t="shared" si="193"/>
        <v>0</v>
      </c>
      <c r="BW20" s="154">
        <f t="shared" si="193"/>
        <v>1</v>
      </c>
      <c r="BX20" s="154">
        <f t="shared" si="193"/>
        <v>0</v>
      </c>
      <c r="BY20" s="154">
        <f t="shared" si="193"/>
        <v>1</v>
      </c>
      <c r="BZ20" s="154">
        <f t="shared" si="193"/>
        <v>1</v>
      </c>
      <c r="CA20" s="154">
        <f t="shared" si="193"/>
        <v>1</v>
      </c>
      <c r="CB20" s="154">
        <f t="shared" si="193"/>
        <v>0</v>
      </c>
      <c r="CC20" s="154">
        <f t="shared" si="193"/>
        <v>1</v>
      </c>
      <c r="CD20" s="154">
        <f t="shared" si="193"/>
        <v>0</v>
      </c>
      <c r="CE20" s="154">
        <f t="shared" si="193"/>
        <v>0</v>
      </c>
      <c r="CF20" s="154">
        <f t="shared" si="193"/>
        <v>1</v>
      </c>
      <c r="CG20" s="154">
        <f t="shared" si="193"/>
        <v>1</v>
      </c>
      <c r="CH20" s="154">
        <f t="shared" si="193"/>
        <v>0</v>
      </c>
      <c r="CI20" s="154">
        <f t="shared" si="193"/>
        <v>1</v>
      </c>
      <c r="CJ20" s="154">
        <f t="shared" si="193"/>
        <v>0</v>
      </c>
      <c r="CK20" s="154">
        <f t="shared" si="193"/>
        <v>0</v>
      </c>
      <c r="CL20" s="154">
        <f t="shared" si="193"/>
        <v>0</v>
      </c>
      <c r="CM20" s="154">
        <f t="shared" si="193"/>
        <v>1</v>
      </c>
      <c r="CN20" s="154">
        <f t="shared" si="193"/>
        <v>0</v>
      </c>
      <c r="CO20" s="154">
        <f t="shared" si="193"/>
        <v>0</v>
      </c>
      <c r="CP20" s="154">
        <f t="shared" si="193"/>
        <v>0</v>
      </c>
      <c r="CQ20" s="154">
        <f t="shared" si="193"/>
        <v>1</v>
      </c>
      <c r="CR20" s="154">
        <f t="shared" si="193"/>
        <v>1</v>
      </c>
      <c r="CS20" s="154">
        <f t="shared" si="193"/>
        <v>1</v>
      </c>
      <c r="CT20" s="154">
        <f t="shared" si="193"/>
        <v>0</v>
      </c>
      <c r="CU20" s="154">
        <f t="shared" si="193"/>
        <v>1</v>
      </c>
      <c r="CV20" s="154">
        <f t="shared" si="193"/>
        <v>1</v>
      </c>
      <c r="CW20" s="154">
        <f t="shared" si="193"/>
        <v>1</v>
      </c>
      <c r="CX20" s="154">
        <f t="shared" si="193"/>
        <v>0</v>
      </c>
      <c r="CY20" s="154">
        <f t="shared" si="193"/>
        <v>0</v>
      </c>
      <c r="CZ20" s="154">
        <f t="shared" si="193"/>
        <v>0</v>
      </c>
      <c r="DA20" s="154">
        <f t="shared" si="193"/>
        <v>1</v>
      </c>
      <c r="DB20" s="154">
        <f t="shared" si="193"/>
        <v>0</v>
      </c>
      <c r="DC20" s="154">
        <f t="shared" si="193"/>
        <v>1</v>
      </c>
      <c r="DD20" s="154">
        <f t="shared" si="193"/>
        <v>0</v>
      </c>
      <c r="DE20" s="154">
        <f t="shared" si="193"/>
        <v>0</v>
      </c>
      <c r="DF20" s="154">
        <f t="shared" si="193"/>
        <v>0</v>
      </c>
      <c r="DG20" s="154">
        <f t="shared" si="193"/>
        <v>0</v>
      </c>
      <c r="DH20" s="154">
        <f t="shared" si="193"/>
        <v>0</v>
      </c>
      <c r="DI20" s="154">
        <f t="shared" si="193"/>
        <v>0</v>
      </c>
      <c r="DJ20" s="154">
        <f t="shared" si="193"/>
        <v>1</v>
      </c>
      <c r="DK20" s="154">
        <f t="shared" si="193"/>
        <v>0</v>
      </c>
      <c r="DL20" s="154">
        <f t="shared" si="193"/>
        <v>0</v>
      </c>
      <c r="DM20" s="154">
        <f t="shared" si="193"/>
        <v>0</v>
      </c>
      <c r="DN20" s="154">
        <f t="shared" si="193"/>
        <v>1</v>
      </c>
      <c r="DO20" s="154">
        <f t="shared" si="193"/>
        <v>0</v>
      </c>
      <c r="DP20" s="154">
        <f t="shared" si="193"/>
        <v>0</v>
      </c>
      <c r="DQ20" s="154">
        <f t="shared" si="193"/>
        <v>0</v>
      </c>
      <c r="DR20" s="154">
        <f t="shared" si="193"/>
        <v>0</v>
      </c>
      <c r="DS20" s="154">
        <f t="shared" si="193"/>
        <v>1</v>
      </c>
      <c r="DT20" s="154">
        <f t="shared" si="193"/>
        <v>1</v>
      </c>
      <c r="DU20" s="154">
        <f t="shared" si="193"/>
        <v>1</v>
      </c>
      <c r="DV20" s="154">
        <f t="shared" si="193"/>
        <v>1</v>
      </c>
      <c r="DW20" s="154">
        <f t="shared" si="193"/>
        <v>1</v>
      </c>
      <c r="DX20" s="154">
        <f t="shared" si="193"/>
        <v>0</v>
      </c>
      <c r="DY20" s="154">
        <f t="shared" si="193"/>
        <v>0</v>
      </c>
      <c r="DZ20" s="154">
        <f t="shared" si="193"/>
        <v>0</v>
      </c>
      <c r="EA20" s="154">
        <f t="shared" si="193"/>
        <v>0</v>
      </c>
      <c r="EB20" s="154">
        <f t="shared" si="193"/>
        <v>0</v>
      </c>
      <c r="EC20" s="154">
        <f t="shared" ref="EC20:GN20" si="194">_xlfn.BITXOR(EC11,EC18)</f>
        <v>0</v>
      </c>
      <c r="ED20" s="154">
        <f t="shared" si="194"/>
        <v>0</v>
      </c>
      <c r="EE20" s="154">
        <f t="shared" si="194"/>
        <v>0</v>
      </c>
      <c r="EF20" s="154">
        <f t="shared" si="194"/>
        <v>1</v>
      </c>
      <c r="EG20" s="154">
        <f t="shared" si="194"/>
        <v>1</v>
      </c>
      <c r="EH20" s="154">
        <f t="shared" si="194"/>
        <v>0</v>
      </c>
      <c r="EI20" s="154">
        <f t="shared" si="194"/>
        <v>0</v>
      </c>
      <c r="EJ20" s="154">
        <f t="shared" si="194"/>
        <v>1</v>
      </c>
      <c r="EK20" s="154">
        <f t="shared" si="194"/>
        <v>1</v>
      </c>
      <c r="EL20" s="154">
        <f t="shared" si="194"/>
        <v>0</v>
      </c>
      <c r="EM20" s="154">
        <f t="shared" si="194"/>
        <v>0</v>
      </c>
      <c r="EN20" s="154">
        <f t="shared" si="194"/>
        <v>0</v>
      </c>
      <c r="EO20" s="154">
        <f t="shared" si="194"/>
        <v>0</v>
      </c>
      <c r="EP20" s="154">
        <f t="shared" si="194"/>
        <v>0</v>
      </c>
      <c r="EQ20" s="154">
        <f t="shared" si="194"/>
        <v>1</v>
      </c>
      <c r="ER20" s="154">
        <f t="shared" si="194"/>
        <v>0</v>
      </c>
      <c r="ES20" s="154">
        <f t="shared" si="194"/>
        <v>0</v>
      </c>
      <c r="ET20" s="154">
        <f t="shared" si="194"/>
        <v>0</v>
      </c>
      <c r="EU20" s="154">
        <f t="shared" si="194"/>
        <v>1</v>
      </c>
      <c r="EV20" s="154">
        <f t="shared" si="194"/>
        <v>1</v>
      </c>
      <c r="EW20" s="154">
        <f t="shared" si="194"/>
        <v>1</v>
      </c>
      <c r="EX20" s="154">
        <f t="shared" si="194"/>
        <v>0</v>
      </c>
      <c r="EY20" s="154">
        <f t="shared" si="194"/>
        <v>1</v>
      </c>
      <c r="EZ20" s="154">
        <f t="shared" si="194"/>
        <v>0</v>
      </c>
      <c r="FA20" s="154">
        <f t="shared" si="194"/>
        <v>0</v>
      </c>
      <c r="FB20" s="154">
        <f t="shared" si="194"/>
        <v>1</v>
      </c>
      <c r="FC20" s="154">
        <f t="shared" si="194"/>
        <v>1</v>
      </c>
      <c r="FD20" s="154">
        <f t="shared" si="194"/>
        <v>0</v>
      </c>
      <c r="FE20" s="154">
        <f t="shared" si="194"/>
        <v>1</v>
      </c>
      <c r="FF20" s="154">
        <f t="shared" si="194"/>
        <v>0</v>
      </c>
      <c r="FG20" s="154">
        <f t="shared" si="194"/>
        <v>1</v>
      </c>
      <c r="FH20" s="154">
        <f t="shared" si="194"/>
        <v>0</v>
      </c>
      <c r="FI20" s="154">
        <f t="shared" si="194"/>
        <v>0</v>
      </c>
      <c r="FJ20" s="154">
        <f t="shared" si="194"/>
        <v>0</v>
      </c>
      <c r="FK20" s="154">
        <f t="shared" si="194"/>
        <v>0</v>
      </c>
      <c r="FL20" s="154">
        <f t="shared" si="194"/>
        <v>0</v>
      </c>
      <c r="FM20" s="154">
        <f t="shared" si="194"/>
        <v>0</v>
      </c>
      <c r="FN20" s="154">
        <f t="shared" si="194"/>
        <v>0</v>
      </c>
      <c r="FO20" s="154">
        <f t="shared" si="194"/>
        <v>0</v>
      </c>
      <c r="FP20" s="154">
        <f t="shared" si="194"/>
        <v>0</v>
      </c>
      <c r="FQ20" s="154">
        <f t="shared" si="194"/>
        <v>0</v>
      </c>
      <c r="FR20" s="154">
        <f t="shared" si="194"/>
        <v>0</v>
      </c>
      <c r="FS20" s="154">
        <f t="shared" si="194"/>
        <v>1</v>
      </c>
      <c r="FT20" s="154">
        <f t="shared" si="194"/>
        <v>1</v>
      </c>
      <c r="FU20" s="154">
        <f t="shared" si="194"/>
        <v>1</v>
      </c>
      <c r="FV20" s="154">
        <f t="shared" si="194"/>
        <v>1</v>
      </c>
      <c r="FW20" s="154">
        <f t="shared" si="194"/>
        <v>1</v>
      </c>
      <c r="FX20" s="154">
        <f t="shared" si="194"/>
        <v>1</v>
      </c>
      <c r="FY20" s="154">
        <f t="shared" si="194"/>
        <v>1</v>
      </c>
      <c r="FZ20" s="154">
        <f t="shared" si="194"/>
        <v>1</v>
      </c>
      <c r="GA20" s="154">
        <f t="shared" si="194"/>
        <v>1</v>
      </c>
      <c r="GB20" s="154">
        <f t="shared" si="194"/>
        <v>1</v>
      </c>
      <c r="GC20" s="154">
        <f t="shared" si="194"/>
        <v>1</v>
      </c>
      <c r="GD20" s="154">
        <f t="shared" si="194"/>
        <v>1</v>
      </c>
      <c r="GE20" s="154">
        <f t="shared" si="194"/>
        <v>1</v>
      </c>
      <c r="GF20" s="154">
        <f t="shared" si="194"/>
        <v>1</v>
      </c>
      <c r="GG20" s="154">
        <f t="shared" si="194"/>
        <v>1</v>
      </c>
      <c r="GH20" s="154">
        <f t="shared" si="194"/>
        <v>0</v>
      </c>
      <c r="GI20" s="154">
        <f t="shared" si="194"/>
        <v>1</v>
      </c>
      <c r="GJ20" s="154">
        <f t="shared" si="194"/>
        <v>0</v>
      </c>
      <c r="GK20" s="154">
        <f t="shared" si="194"/>
        <v>0</v>
      </c>
      <c r="GL20" s="154">
        <f t="shared" si="194"/>
        <v>0</v>
      </c>
      <c r="GM20" s="154">
        <f t="shared" si="194"/>
        <v>1</v>
      </c>
      <c r="GN20" s="154">
        <f t="shared" si="194"/>
        <v>0</v>
      </c>
      <c r="GO20" s="154">
        <f t="shared" ref="GO20:IY20" si="195">_xlfn.BITXOR(GO11,GO18)</f>
        <v>0</v>
      </c>
      <c r="GP20" s="154">
        <f t="shared" si="195"/>
        <v>0</v>
      </c>
      <c r="GQ20" s="154">
        <f t="shared" si="195"/>
        <v>1</v>
      </c>
      <c r="GR20" s="154">
        <f t="shared" si="195"/>
        <v>1</v>
      </c>
      <c r="GS20" s="154">
        <f t="shared" si="195"/>
        <v>1</v>
      </c>
      <c r="GT20" s="154">
        <f t="shared" si="195"/>
        <v>0</v>
      </c>
      <c r="GU20" s="154">
        <f t="shared" si="195"/>
        <v>1</v>
      </c>
      <c r="GV20" s="154">
        <f t="shared" si="195"/>
        <v>0</v>
      </c>
      <c r="GW20" s="154">
        <f t="shared" si="195"/>
        <v>0</v>
      </c>
      <c r="GX20" s="154">
        <f t="shared" si="195"/>
        <v>1</v>
      </c>
      <c r="GY20" s="154">
        <f t="shared" si="195"/>
        <v>1</v>
      </c>
      <c r="GZ20" s="154">
        <f t="shared" si="195"/>
        <v>0</v>
      </c>
      <c r="HA20" s="154">
        <f t="shared" si="195"/>
        <v>1</v>
      </c>
      <c r="HB20" s="154">
        <f t="shared" si="195"/>
        <v>0</v>
      </c>
      <c r="HC20" s="154">
        <f t="shared" si="195"/>
        <v>1</v>
      </c>
      <c r="HD20" s="154">
        <f t="shared" si="195"/>
        <v>1</v>
      </c>
      <c r="HE20" s="154">
        <f t="shared" si="195"/>
        <v>1</v>
      </c>
      <c r="HF20" s="154">
        <f t="shared" si="195"/>
        <v>0</v>
      </c>
      <c r="HG20" s="154">
        <f t="shared" si="195"/>
        <v>1</v>
      </c>
      <c r="HH20" s="154">
        <f t="shared" si="195"/>
        <v>0</v>
      </c>
      <c r="HI20" s="154">
        <f t="shared" si="195"/>
        <v>0</v>
      </c>
      <c r="HJ20" s="154">
        <f t="shared" si="195"/>
        <v>0</v>
      </c>
      <c r="HK20" s="154">
        <f t="shared" si="195"/>
        <v>1</v>
      </c>
      <c r="HL20" s="154">
        <f t="shared" si="195"/>
        <v>0</v>
      </c>
      <c r="HM20" s="154">
        <f t="shared" si="195"/>
        <v>0</v>
      </c>
      <c r="HN20" s="154">
        <f t="shared" si="195"/>
        <v>0</v>
      </c>
      <c r="HO20" s="154">
        <f t="shared" si="195"/>
        <v>1</v>
      </c>
      <c r="HP20" s="154">
        <f t="shared" si="195"/>
        <v>0</v>
      </c>
      <c r="HQ20" s="154">
        <f t="shared" si="195"/>
        <v>0</v>
      </c>
      <c r="HR20" s="154">
        <f t="shared" si="195"/>
        <v>0</v>
      </c>
      <c r="HS20" s="154">
        <f t="shared" si="195"/>
        <v>1</v>
      </c>
      <c r="HT20" s="154">
        <f t="shared" si="195"/>
        <v>1</v>
      </c>
      <c r="HU20" s="154">
        <f t="shared" si="195"/>
        <v>1</v>
      </c>
      <c r="HV20" s="154">
        <f t="shared" si="195"/>
        <v>0</v>
      </c>
      <c r="HW20" s="154">
        <f t="shared" si="195"/>
        <v>1</v>
      </c>
      <c r="HX20" s="154">
        <f t="shared" si="195"/>
        <v>0</v>
      </c>
      <c r="HY20" s="154">
        <f t="shared" si="195"/>
        <v>0</v>
      </c>
      <c r="HZ20" s="154">
        <f t="shared" si="195"/>
        <v>1</v>
      </c>
      <c r="IA20" s="154">
        <f t="shared" si="195"/>
        <v>1</v>
      </c>
      <c r="IB20" s="154">
        <f t="shared" si="195"/>
        <v>0</v>
      </c>
      <c r="IC20" s="154">
        <f t="shared" si="195"/>
        <v>1</v>
      </c>
      <c r="ID20" s="154">
        <f t="shared" si="195"/>
        <v>0</v>
      </c>
      <c r="IE20" s="154">
        <f t="shared" si="195"/>
        <v>1</v>
      </c>
      <c r="IF20" s="154">
        <f t="shared" si="195"/>
        <v>0</v>
      </c>
      <c r="IG20" s="154">
        <f t="shared" si="195"/>
        <v>1</v>
      </c>
      <c r="IH20" s="154">
        <f t="shared" si="195"/>
        <v>0</v>
      </c>
      <c r="II20" s="154">
        <f t="shared" si="195"/>
        <v>0</v>
      </c>
      <c r="IJ20" s="154">
        <f t="shared" si="195"/>
        <v>0</v>
      </c>
      <c r="IK20" s="154">
        <f t="shared" si="195"/>
        <v>1</v>
      </c>
      <c r="IL20" s="154">
        <f t="shared" si="195"/>
        <v>1</v>
      </c>
      <c r="IM20" s="154">
        <f t="shared" si="195"/>
        <v>1</v>
      </c>
      <c r="IN20" s="154">
        <f t="shared" si="195"/>
        <v>0</v>
      </c>
      <c r="IO20" s="154">
        <f t="shared" si="195"/>
        <v>1</v>
      </c>
      <c r="IP20" s="154">
        <f t="shared" si="195"/>
        <v>1</v>
      </c>
      <c r="IQ20" s="154">
        <f t="shared" si="195"/>
        <v>1</v>
      </c>
      <c r="IR20" s="154">
        <f t="shared" si="195"/>
        <v>0</v>
      </c>
      <c r="IS20" s="154">
        <f t="shared" si="195"/>
        <v>1</v>
      </c>
      <c r="IT20" s="154">
        <f t="shared" si="195"/>
        <v>1</v>
      </c>
      <c r="IU20" s="154">
        <f t="shared" si="195"/>
        <v>1</v>
      </c>
      <c r="IV20" s="154">
        <f t="shared" si="195"/>
        <v>0</v>
      </c>
      <c r="IW20" s="154">
        <f t="shared" si="195"/>
        <v>0</v>
      </c>
      <c r="IX20" s="154">
        <f t="shared" si="195"/>
        <v>0</v>
      </c>
      <c r="IY20" s="154">
        <f t="shared" si="195"/>
        <v>1</v>
      </c>
      <c r="IZ20" t="s">
        <v>227</v>
      </c>
    </row>
    <row r="21" spans="1:260">
      <c r="D21" s="213" t="str">
        <f>D20&amp;E20&amp;F20&amp;G20</f>
        <v>1111</v>
      </c>
      <c r="E21" s="214"/>
      <c r="F21" s="214"/>
      <c r="G21" s="215"/>
      <c r="H21" s="213" t="str">
        <f>H20&amp;I20&amp;J20&amp;K20</f>
        <v>1000</v>
      </c>
      <c r="I21" s="214"/>
      <c r="J21" s="214"/>
      <c r="K21" s="215"/>
      <c r="L21" s="213" t="str">
        <f>L20&amp;M20&amp;N20&amp;O20</f>
        <v>1101</v>
      </c>
      <c r="M21" s="214"/>
      <c r="N21" s="214"/>
      <c r="O21" s="215"/>
      <c r="P21" s="213" t="str">
        <f>P20&amp;Q20&amp;R20&amp;S20</f>
        <v>0011</v>
      </c>
      <c r="Q21" s="214"/>
      <c r="R21" s="214"/>
      <c r="S21" s="215"/>
      <c r="T21" s="213" t="str">
        <f>T20&amp;U20&amp;V20&amp;W20</f>
        <v>0000</v>
      </c>
      <c r="U21" s="214"/>
      <c r="V21" s="214"/>
      <c r="W21" s="215"/>
      <c r="X21" s="213" t="str">
        <f>X20&amp;Y20&amp;Z20&amp;AA20</f>
        <v>1111</v>
      </c>
      <c r="Y21" s="214"/>
      <c r="Z21" s="214"/>
      <c r="AA21" s="215"/>
      <c r="AB21" s="213" t="str">
        <f>AB20&amp;AC20&amp;AD20&amp;AE20</f>
        <v>0110</v>
      </c>
      <c r="AC21" s="214"/>
      <c r="AD21" s="214"/>
      <c r="AE21" s="215"/>
      <c r="AF21" s="213" t="str">
        <f>AF20&amp;AG20&amp;AH20&amp;AI20</f>
        <v>0111</v>
      </c>
      <c r="AG21" s="214"/>
      <c r="AH21" s="214"/>
      <c r="AI21" s="215"/>
      <c r="AJ21" s="213" t="str">
        <f>AJ20&amp;AK20&amp;AL20&amp;AM20</f>
        <v>1000</v>
      </c>
      <c r="AK21" s="214"/>
      <c r="AL21" s="214"/>
      <c r="AM21" s="215"/>
      <c r="AN21" s="213" t="str">
        <f>AN20&amp;AO20&amp;AP20&amp;AQ20</f>
        <v>1001</v>
      </c>
      <c r="AO21" s="214"/>
      <c r="AP21" s="214"/>
      <c r="AQ21" s="215"/>
      <c r="AR21" s="213" t="str">
        <f>AR20&amp;AS20&amp;AT20&amp;AU20</f>
        <v>1010</v>
      </c>
      <c r="AS21" s="214"/>
      <c r="AT21" s="214"/>
      <c r="AU21" s="215"/>
      <c r="AV21" s="213" t="str">
        <f>AV20&amp;AW20&amp;AX20&amp;AY20</f>
        <v>1011</v>
      </c>
      <c r="AW21" s="214"/>
      <c r="AX21" s="214"/>
      <c r="AY21" s="215"/>
      <c r="AZ21" s="213" t="str">
        <f>AZ20&amp;BA20&amp;BB20&amp;BC20</f>
        <v>1100</v>
      </c>
      <c r="BA21" s="214"/>
      <c r="BB21" s="214"/>
      <c r="BC21" s="215"/>
      <c r="BD21" s="213" t="str">
        <f>BD20&amp;BE20&amp;BF20&amp;BG20</f>
        <v>1010</v>
      </c>
      <c r="BE21" s="214"/>
      <c r="BF21" s="214"/>
      <c r="BG21" s="215"/>
      <c r="BH21" s="213" t="str">
        <f>BH20&amp;BI20&amp;BJ20&amp;BK20</f>
        <v>1001</v>
      </c>
      <c r="BI21" s="214"/>
      <c r="BJ21" s="214"/>
      <c r="BK21" s="215"/>
      <c r="BL21" s="213" t="str">
        <f>BL20&amp;BM20&amp;BN20&amp;BO20</f>
        <v>1001</v>
      </c>
      <c r="BM21" s="214"/>
      <c r="BN21" s="214"/>
      <c r="BO21" s="215"/>
      <c r="BP21" s="213" t="str">
        <f>BP20&amp;BQ20&amp;BR20&amp;BS20</f>
        <v>1001</v>
      </c>
      <c r="BQ21" s="214"/>
      <c r="BR21" s="214"/>
      <c r="BS21" s="215"/>
      <c r="BT21" s="213" t="str">
        <f>BT20&amp;BU20&amp;BV20&amp;BW20</f>
        <v>1001</v>
      </c>
      <c r="BU21" s="214"/>
      <c r="BV21" s="214"/>
      <c r="BW21" s="215"/>
      <c r="BX21" s="213" t="str">
        <f>BX20&amp;BY20&amp;BZ20&amp;CA20</f>
        <v>0111</v>
      </c>
      <c r="BY21" s="214"/>
      <c r="BZ21" s="214"/>
      <c r="CA21" s="215"/>
      <c r="CB21" s="213" t="str">
        <f>CB20&amp;CC20&amp;CD20&amp;CE20</f>
        <v>0100</v>
      </c>
      <c r="CC21" s="214"/>
      <c r="CD21" s="214"/>
      <c r="CE21" s="215"/>
      <c r="CF21" s="213" t="str">
        <f>CF20&amp;CG20&amp;CH20&amp;CI20</f>
        <v>1101</v>
      </c>
      <c r="CG21" s="214"/>
      <c r="CH21" s="214"/>
      <c r="CI21" s="215"/>
      <c r="CJ21" s="213" t="str">
        <f>CJ20&amp;CK20&amp;CL20&amp;CM20</f>
        <v>0001</v>
      </c>
      <c r="CK21" s="214"/>
      <c r="CL21" s="214"/>
      <c r="CM21" s="215"/>
      <c r="CN21" s="213" t="str">
        <f>CN20&amp;CO20&amp;CP20&amp;CQ20</f>
        <v>0001</v>
      </c>
      <c r="CO21" s="214"/>
      <c r="CP21" s="214"/>
      <c r="CQ21" s="215"/>
      <c r="CR21" s="213" t="str">
        <f>CR20&amp;CS20&amp;CT20&amp;CU20</f>
        <v>1101</v>
      </c>
      <c r="CS21" s="214"/>
      <c r="CT21" s="214"/>
      <c r="CU21" s="215"/>
      <c r="CV21" s="213" t="str">
        <f>CV20&amp;CW20&amp;CX20&amp;CY20</f>
        <v>1100</v>
      </c>
      <c r="CW21" s="214"/>
      <c r="CX21" s="214"/>
      <c r="CY21" s="215"/>
      <c r="CZ21" s="213" t="str">
        <f>CZ20&amp;DA20&amp;DB20&amp;DC20</f>
        <v>0101</v>
      </c>
      <c r="DA21" s="214"/>
      <c r="DB21" s="214"/>
      <c r="DC21" s="215"/>
      <c r="DD21" s="213" t="str">
        <f>DD20&amp;DE20&amp;DF20&amp;DG20</f>
        <v>0000</v>
      </c>
      <c r="DE21" s="214"/>
      <c r="DF21" s="214"/>
      <c r="DG21" s="215"/>
      <c r="DH21" s="213" t="str">
        <f>DH20&amp;DI20&amp;DJ20&amp;DK20</f>
        <v>0010</v>
      </c>
      <c r="DI21" s="214"/>
      <c r="DJ21" s="214"/>
      <c r="DK21" s="215"/>
      <c r="DL21" s="213" t="str">
        <f>DL20&amp;DM20&amp;DN20&amp;DO20</f>
        <v>0010</v>
      </c>
      <c r="DM21" s="214"/>
      <c r="DN21" s="214"/>
      <c r="DO21" s="215"/>
      <c r="DP21" s="213" t="str">
        <f>DP20&amp;DQ20&amp;DR20&amp;DS20</f>
        <v>0001</v>
      </c>
      <c r="DQ21" s="214"/>
      <c r="DR21" s="214"/>
      <c r="DS21" s="215"/>
      <c r="DT21" s="213" t="str">
        <f>DT20&amp;DU20&amp;DV20&amp;DW20</f>
        <v>1111</v>
      </c>
      <c r="DU21" s="214"/>
      <c r="DV21" s="214"/>
      <c r="DW21" s="215"/>
      <c r="DX21" s="213" t="str">
        <f>DX20&amp;DY20&amp;DZ20&amp;EA20</f>
        <v>0000</v>
      </c>
      <c r="DY21" s="214"/>
      <c r="DZ21" s="214"/>
      <c r="EA21" s="215"/>
      <c r="EB21" s="213" t="str">
        <f>EB20&amp;EC20&amp;ED20&amp;EE20</f>
        <v>0000</v>
      </c>
      <c r="EC21" s="214"/>
      <c r="ED21" s="214"/>
      <c r="EE21" s="215"/>
      <c r="EF21" s="213" t="str">
        <f>EF20&amp;EG20&amp;EH20&amp;EI20</f>
        <v>1100</v>
      </c>
      <c r="EG21" s="214"/>
      <c r="EH21" s="214"/>
      <c r="EI21" s="215"/>
      <c r="EJ21" s="213" t="str">
        <f>EJ20&amp;EK20&amp;EL20&amp;EM20</f>
        <v>1100</v>
      </c>
      <c r="EK21" s="214"/>
      <c r="EL21" s="214"/>
      <c r="EM21" s="215"/>
      <c r="EN21" s="213" t="str">
        <f>EN20&amp;EO20&amp;EP20&amp;EQ20</f>
        <v>0001</v>
      </c>
      <c r="EO21" s="214"/>
      <c r="EP21" s="214"/>
      <c r="EQ21" s="215"/>
      <c r="ER21" s="213" t="str">
        <f>ER20&amp;ES20&amp;ET20&amp;EU20</f>
        <v>0001</v>
      </c>
      <c r="ES21" s="214"/>
      <c r="ET21" s="214"/>
      <c r="EU21" s="215"/>
      <c r="EV21" s="213" t="str">
        <f>EV20&amp;EW20&amp;EX20&amp;EY20</f>
        <v>1101</v>
      </c>
      <c r="EW21" s="214"/>
      <c r="EX21" s="214"/>
      <c r="EY21" s="215"/>
      <c r="EZ21" s="213" t="str">
        <f>EZ20&amp;FA20&amp;FB20&amp;FC20</f>
        <v>0011</v>
      </c>
      <c r="FA21" s="214"/>
      <c r="FB21" s="214"/>
      <c r="FC21" s="215"/>
      <c r="FD21" s="213" t="str">
        <f>FD20&amp;FE20&amp;FF20&amp;FG20</f>
        <v>0101</v>
      </c>
      <c r="FE21" s="214"/>
      <c r="FF21" s="214"/>
      <c r="FG21" s="215"/>
      <c r="FH21" s="213" t="str">
        <f>FH20&amp;FI20&amp;FJ20&amp;FK20</f>
        <v>0000</v>
      </c>
      <c r="FI21" s="214"/>
      <c r="FJ21" s="214"/>
      <c r="FK21" s="215"/>
      <c r="FL21" s="213" t="str">
        <f>FL20&amp;FM20&amp;FN20&amp;FO20</f>
        <v>0000</v>
      </c>
      <c r="FM21" s="214"/>
      <c r="FN21" s="214"/>
      <c r="FO21" s="215"/>
      <c r="FP21" s="213" t="str">
        <f>FP20&amp;FQ20&amp;FR20&amp;FS20</f>
        <v>0001</v>
      </c>
      <c r="FQ21" s="214"/>
      <c r="FR21" s="214"/>
      <c r="FS21" s="215"/>
      <c r="FT21" s="213" t="str">
        <f>FT20&amp;FU20&amp;FV20&amp;FW20</f>
        <v>1111</v>
      </c>
      <c r="FU21" s="214"/>
      <c r="FV21" s="214"/>
      <c r="FW21" s="215"/>
      <c r="FX21" s="213" t="str">
        <f>FX20&amp;FY20&amp;FZ20&amp;GA20</f>
        <v>1111</v>
      </c>
      <c r="FY21" s="214"/>
      <c r="FZ21" s="214"/>
      <c r="GA21" s="215"/>
      <c r="GB21" s="213" t="str">
        <f>GB20&amp;GC20&amp;GD20&amp;GE20</f>
        <v>1111</v>
      </c>
      <c r="GC21" s="214"/>
      <c r="GD21" s="214"/>
      <c r="GE21" s="215"/>
      <c r="GF21" s="213" t="str">
        <f>GF20&amp;GG20&amp;GH20&amp;GI20</f>
        <v>1101</v>
      </c>
      <c r="GG21" s="214"/>
      <c r="GH21" s="214"/>
      <c r="GI21" s="215"/>
      <c r="GJ21" s="213" t="str">
        <f>GJ20&amp;GK20&amp;GL20&amp;GM20</f>
        <v>0001</v>
      </c>
      <c r="GK21" s="214"/>
      <c r="GL21" s="214"/>
      <c r="GM21" s="215"/>
      <c r="GN21" s="213" t="str">
        <f>GN20&amp;GO20&amp;GP20&amp;GQ20</f>
        <v>0001</v>
      </c>
      <c r="GO21" s="214"/>
      <c r="GP21" s="214"/>
      <c r="GQ21" s="215"/>
      <c r="GR21" s="213" t="str">
        <f>GR20&amp;GS20&amp;GT20&amp;GU20</f>
        <v>1101</v>
      </c>
      <c r="GS21" s="214"/>
      <c r="GT21" s="214"/>
      <c r="GU21" s="215"/>
      <c r="GV21" s="213" t="str">
        <f>GV20&amp;GW20&amp;GX20&amp;GY20</f>
        <v>0011</v>
      </c>
      <c r="GW21" s="214"/>
      <c r="GX21" s="214"/>
      <c r="GY21" s="215"/>
      <c r="GZ21" s="213" t="str">
        <f>GZ20&amp;HA20&amp;HB20&amp;HC20</f>
        <v>0101</v>
      </c>
      <c r="HA21" s="214"/>
      <c r="HB21" s="214"/>
      <c r="HC21" s="215"/>
      <c r="HD21" s="213" t="str">
        <f>HD20&amp;HE20&amp;HF20&amp;HG20</f>
        <v>1101</v>
      </c>
      <c r="HE21" s="214"/>
      <c r="HF21" s="214"/>
      <c r="HG21" s="215"/>
      <c r="HH21" s="213" t="str">
        <f>HH20&amp;HI20&amp;HJ20&amp;HK20</f>
        <v>0001</v>
      </c>
      <c r="HI21" s="214"/>
      <c r="HJ21" s="214"/>
      <c r="HK21" s="215"/>
      <c r="HL21" s="213" t="str">
        <f>HL20&amp;HM20&amp;HN20&amp;HO20</f>
        <v>0001</v>
      </c>
      <c r="HM21" s="214"/>
      <c r="HN21" s="214"/>
      <c r="HO21" s="215"/>
      <c r="HP21" s="213" t="str">
        <f>HP20&amp;HQ20&amp;HR20&amp;HS20</f>
        <v>0001</v>
      </c>
      <c r="HQ21" s="214"/>
      <c r="HR21" s="214"/>
      <c r="HS21" s="215"/>
      <c r="HT21" s="213" t="str">
        <f>HT20&amp;HU20&amp;HV20&amp;HW20</f>
        <v>1101</v>
      </c>
      <c r="HU21" s="214"/>
      <c r="HV21" s="214"/>
      <c r="HW21" s="215"/>
      <c r="HX21" s="213" t="str">
        <f>HX20&amp;HY20&amp;HZ20&amp;IA20</f>
        <v>0011</v>
      </c>
      <c r="HY21" s="214"/>
      <c r="HZ21" s="214"/>
      <c r="IA21" s="215"/>
      <c r="IB21" s="213" t="str">
        <f>IB20&amp;IC20&amp;ID20&amp;IE20</f>
        <v>0101</v>
      </c>
      <c r="IC21" s="214"/>
      <c r="ID21" s="214"/>
      <c r="IE21" s="215"/>
      <c r="IF21" s="213" t="str">
        <f>IF20&amp;IG20&amp;IH20&amp;II20</f>
        <v>0100</v>
      </c>
      <c r="IG21" s="214"/>
      <c r="IH21" s="214"/>
      <c r="II21" s="215"/>
      <c r="IJ21" s="213" t="str">
        <f>IJ20&amp;IK20&amp;IL20&amp;IM20</f>
        <v>0111</v>
      </c>
      <c r="IK21" s="214"/>
      <c r="IL21" s="214"/>
      <c r="IM21" s="215"/>
      <c r="IN21" s="213" t="str">
        <f>IN20&amp;IO20&amp;IP20&amp;IQ20</f>
        <v>0111</v>
      </c>
      <c r="IO21" s="214"/>
      <c r="IP21" s="214"/>
      <c r="IQ21" s="215"/>
      <c r="IR21" s="213" t="str">
        <f>IR20&amp;IS20&amp;IT20&amp;IU20</f>
        <v>0111</v>
      </c>
      <c r="IS21" s="214"/>
      <c r="IT21" s="214"/>
      <c r="IU21" s="215"/>
      <c r="IV21" s="213" t="str">
        <f>IV20&amp;IW20&amp;IX20&amp;IY20</f>
        <v>0001</v>
      </c>
      <c r="IW21" s="214"/>
      <c r="IX21" s="214"/>
      <c r="IY21" s="215"/>
      <c r="IZ21" t="s">
        <v>227</v>
      </c>
    </row>
    <row r="22" spans="1:260">
      <c r="D22" s="216" t="str">
        <f>BIN2HEX(D21)</f>
        <v>F</v>
      </c>
      <c r="E22" s="217"/>
      <c r="F22" s="217"/>
      <c r="G22" s="218"/>
      <c r="H22" s="216" t="str">
        <f>BIN2HEX(H21)</f>
        <v>8</v>
      </c>
      <c r="I22" s="217"/>
      <c r="J22" s="217"/>
      <c r="K22" s="218"/>
      <c r="L22" s="216" t="str">
        <f>BIN2HEX(L21)</f>
        <v>D</v>
      </c>
      <c r="M22" s="217"/>
      <c r="N22" s="217"/>
      <c r="O22" s="218"/>
      <c r="P22" s="216" t="str">
        <f>BIN2HEX(P21)</f>
        <v>3</v>
      </c>
      <c r="Q22" s="217"/>
      <c r="R22" s="217"/>
      <c r="S22" s="218"/>
      <c r="T22" s="216" t="str">
        <f>BIN2HEX(T21)</f>
        <v>0</v>
      </c>
      <c r="U22" s="217"/>
      <c r="V22" s="217"/>
      <c r="W22" s="218"/>
      <c r="X22" s="216" t="str">
        <f>BIN2HEX(X21)</f>
        <v>F</v>
      </c>
      <c r="Y22" s="217"/>
      <c r="Z22" s="217"/>
      <c r="AA22" s="218"/>
      <c r="AB22" s="216" t="str">
        <f>BIN2HEX(AB21)</f>
        <v>6</v>
      </c>
      <c r="AC22" s="217"/>
      <c r="AD22" s="217"/>
      <c r="AE22" s="218"/>
      <c r="AF22" s="216" t="str">
        <f>BIN2HEX(AF21)</f>
        <v>7</v>
      </c>
      <c r="AG22" s="217"/>
      <c r="AH22" s="217"/>
      <c r="AI22" s="218"/>
      <c r="AJ22" s="216" t="str">
        <f>BIN2HEX(AJ21)</f>
        <v>8</v>
      </c>
      <c r="AK22" s="217"/>
      <c r="AL22" s="217"/>
      <c r="AM22" s="218"/>
      <c r="AN22" s="216" t="str">
        <f>BIN2HEX(AN21)</f>
        <v>9</v>
      </c>
      <c r="AO22" s="217"/>
      <c r="AP22" s="217"/>
      <c r="AQ22" s="218"/>
      <c r="AR22" s="216" t="str">
        <f>BIN2HEX(AR21)</f>
        <v>A</v>
      </c>
      <c r="AS22" s="217"/>
      <c r="AT22" s="217"/>
      <c r="AU22" s="218"/>
      <c r="AV22" s="216" t="str">
        <f>BIN2HEX(AV21)</f>
        <v>B</v>
      </c>
      <c r="AW22" s="217"/>
      <c r="AX22" s="217"/>
      <c r="AY22" s="218"/>
      <c r="AZ22" s="216" t="str">
        <f>BIN2HEX(AZ21)</f>
        <v>C</v>
      </c>
      <c r="BA22" s="217"/>
      <c r="BB22" s="217"/>
      <c r="BC22" s="218"/>
      <c r="BD22" s="216" t="str">
        <f>BIN2HEX(BD21)</f>
        <v>A</v>
      </c>
      <c r="BE22" s="217"/>
      <c r="BF22" s="217"/>
      <c r="BG22" s="218"/>
      <c r="BH22" s="216" t="str">
        <f>BIN2HEX(BH21)</f>
        <v>9</v>
      </c>
      <c r="BI22" s="217"/>
      <c r="BJ22" s="217"/>
      <c r="BK22" s="218"/>
      <c r="BL22" s="216" t="str">
        <f>BIN2HEX(BL21)</f>
        <v>9</v>
      </c>
      <c r="BM22" s="217"/>
      <c r="BN22" s="217"/>
      <c r="BO22" s="218"/>
      <c r="BP22" s="216" t="str">
        <f>BIN2HEX(BP21)</f>
        <v>9</v>
      </c>
      <c r="BQ22" s="217"/>
      <c r="BR22" s="217"/>
      <c r="BS22" s="218"/>
      <c r="BT22" s="216" t="str">
        <f>BIN2HEX(BT21)</f>
        <v>9</v>
      </c>
      <c r="BU22" s="217"/>
      <c r="BV22" s="217"/>
      <c r="BW22" s="218"/>
      <c r="BX22" s="216" t="str">
        <f>BIN2HEX(BX21)</f>
        <v>7</v>
      </c>
      <c r="BY22" s="217"/>
      <c r="BZ22" s="217"/>
      <c r="CA22" s="218"/>
      <c r="CB22" s="216" t="str">
        <f>BIN2HEX(CB21)</f>
        <v>4</v>
      </c>
      <c r="CC22" s="217"/>
      <c r="CD22" s="217"/>
      <c r="CE22" s="218"/>
      <c r="CF22" s="216" t="str">
        <f>BIN2HEX(CF21)</f>
        <v>D</v>
      </c>
      <c r="CG22" s="217"/>
      <c r="CH22" s="217"/>
      <c r="CI22" s="218"/>
      <c r="CJ22" s="216" t="str">
        <f>BIN2HEX(CJ21)</f>
        <v>1</v>
      </c>
      <c r="CK22" s="217"/>
      <c r="CL22" s="217"/>
      <c r="CM22" s="218"/>
      <c r="CN22" s="216" t="str">
        <f>BIN2HEX(CN21)</f>
        <v>1</v>
      </c>
      <c r="CO22" s="217"/>
      <c r="CP22" s="217"/>
      <c r="CQ22" s="218"/>
      <c r="CR22" s="216" t="str">
        <f>BIN2HEX(CR21)</f>
        <v>D</v>
      </c>
      <c r="CS22" s="217"/>
      <c r="CT22" s="217"/>
      <c r="CU22" s="218"/>
      <c r="CV22" s="216" t="str">
        <f>BIN2HEX(CV21)</f>
        <v>C</v>
      </c>
      <c r="CW22" s="217"/>
      <c r="CX22" s="217"/>
      <c r="CY22" s="218"/>
      <c r="CZ22" s="216" t="str">
        <f>BIN2HEX(CZ21)</f>
        <v>5</v>
      </c>
      <c r="DA22" s="217"/>
      <c r="DB22" s="217"/>
      <c r="DC22" s="218"/>
      <c r="DD22" s="216" t="str">
        <f>BIN2HEX(DD21)</f>
        <v>0</v>
      </c>
      <c r="DE22" s="217"/>
      <c r="DF22" s="217"/>
      <c r="DG22" s="218"/>
      <c r="DH22" s="216" t="str">
        <f>BIN2HEX(DH21)</f>
        <v>2</v>
      </c>
      <c r="DI22" s="217"/>
      <c r="DJ22" s="217"/>
      <c r="DK22" s="218"/>
      <c r="DL22" s="216" t="str">
        <f>BIN2HEX(DL21)</f>
        <v>2</v>
      </c>
      <c r="DM22" s="217"/>
      <c r="DN22" s="217"/>
      <c r="DO22" s="218"/>
      <c r="DP22" s="216" t="str">
        <f>BIN2HEX(DP21)</f>
        <v>1</v>
      </c>
      <c r="DQ22" s="217"/>
      <c r="DR22" s="217"/>
      <c r="DS22" s="218"/>
      <c r="DT22" s="216" t="str">
        <f>BIN2HEX(DT21)</f>
        <v>F</v>
      </c>
      <c r="DU22" s="217"/>
      <c r="DV22" s="217"/>
      <c r="DW22" s="218"/>
      <c r="DX22" s="216" t="str">
        <f>BIN2HEX(DX21)</f>
        <v>0</v>
      </c>
      <c r="DY22" s="217"/>
      <c r="DZ22" s="217"/>
      <c r="EA22" s="218"/>
      <c r="EB22" s="216" t="str">
        <f>BIN2HEX(EB21)</f>
        <v>0</v>
      </c>
      <c r="EC22" s="217"/>
      <c r="ED22" s="217"/>
      <c r="EE22" s="218"/>
      <c r="EF22" s="216" t="str">
        <f>BIN2HEX(EF21)</f>
        <v>C</v>
      </c>
      <c r="EG22" s="217"/>
      <c r="EH22" s="217"/>
      <c r="EI22" s="218"/>
      <c r="EJ22" s="216" t="str">
        <f>BIN2HEX(EJ21)</f>
        <v>C</v>
      </c>
      <c r="EK22" s="217"/>
      <c r="EL22" s="217"/>
      <c r="EM22" s="218"/>
      <c r="EN22" s="216" t="str">
        <f>BIN2HEX(EN21)</f>
        <v>1</v>
      </c>
      <c r="EO22" s="217"/>
      <c r="EP22" s="217"/>
      <c r="EQ22" s="218"/>
      <c r="ER22" s="216" t="str">
        <f>BIN2HEX(ER21)</f>
        <v>1</v>
      </c>
      <c r="ES22" s="217"/>
      <c r="ET22" s="217"/>
      <c r="EU22" s="218"/>
      <c r="EV22" s="216" t="str">
        <f>BIN2HEX(EV21)</f>
        <v>D</v>
      </c>
      <c r="EW22" s="217"/>
      <c r="EX22" s="217"/>
      <c r="EY22" s="218"/>
      <c r="EZ22" s="216" t="str">
        <f>BIN2HEX(EZ21)</f>
        <v>3</v>
      </c>
      <c r="FA22" s="217"/>
      <c r="FB22" s="217"/>
      <c r="FC22" s="218"/>
      <c r="FD22" s="216" t="str">
        <f>BIN2HEX(FD21)</f>
        <v>5</v>
      </c>
      <c r="FE22" s="217"/>
      <c r="FF22" s="217"/>
      <c r="FG22" s="218"/>
      <c r="FH22" s="216" t="str">
        <f>BIN2HEX(FH21)</f>
        <v>0</v>
      </c>
      <c r="FI22" s="217"/>
      <c r="FJ22" s="217"/>
      <c r="FK22" s="218"/>
      <c r="FL22" s="216" t="str">
        <f>BIN2HEX(FL21)</f>
        <v>0</v>
      </c>
      <c r="FM22" s="217"/>
      <c r="FN22" s="217"/>
      <c r="FO22" s="218"/>
      <c r="FP22" s="216" t="str">
        <f>BIN2HEX(FP21)</f>
        <v>1</v>
      </c>
      <c r="FQ22" s="217"/>
      <c r="FR22" s="217"/>
      <c r="FS22" s="218"/>
      <c r="FT22" s="216" t="str">
        <f>BIN2HEX(FT21)</f>
        <v>F</v>
      </c>
      <c r="FU22" s="217"/>
      <c r="FV22" s="217"/>
      <c r="FW22" s="218"/>
      <c r="FX22" s="216" t="str">
        <f>BIN2HEX(FX21)</f>
        <v>F</v>
      </c>
      <c r="FY22" s="217"/>
      <c r="FZ22" s="217"/>
      <c r="GA22" s="218"/>
      <c r="GB22" s="216" t="str">
        <f>BIN2HEX(GB21)</f>
        <v>F</v>
      </c>
      <c r="GC22" s="217"/>
      <c r="GD22" s="217"/>
      <c r="GE22" s="218"/>
      <c r="GF22" s="216" t="str">
        <f>BIN2HEX(GF21)</f>
        <v>D</v>
      </c>
      <c r="GG22" s="217"/>
      <c r="GH22" s="217"/>
      <c r="GI22" s="218"/>
      <c r="GJ22" s="216" t="str">
        <f>BIN2HEX(GJ21)</f>
        <v>1</v>
      </c>
      <c r="GK22" s="217"/>
      <c r="GL22" s="217"/>
      <c r="GM22" s="218"/>
      <c r="GN22" s="216" t="str">
        <f>BIN2HEX(GN21)</f>
        <v>1</v>
      </c>
      <c r="GO22" s="217"/>
      <c r="GP22" s="217"/>
      <c r="GQ22" s="218"/>
      <c r="GR22" s="216" t="str">
        <f>BIN2HEX(GR21)</f>
        <v>D</v>
      </c>
      <c r="GS22" s="217"/>
      <c r="GT22" s="217"/>
      <c r="GU22" s="218"/>
      <c r="GV22" s="216" t="str">
        <f>BIN2HEX(GV21)</f>
        <v>3</v>
      </c>
      <c r="GW22" s="217"/>
      <c r="GX22" s="217"/>
      <c r="GY22" s="218"/>
      <c r="GZ22" s="216" t="str">
        <f>BIN2HEX(GZ21)</f>
        <v>5</v>
      </c>
      <c r="HA22" s="217"/>
      <c r="HB22" s="217"/>
      <c r="HC22" s="218"/>
      <c r="HD22" s="216" t="str">
        <f>BIN2HEX(HD21)</f>
        <v>D</v>
      </c>
      <c r="HE22" s="217"/>
      <c r="HF22" s="217"/>
      <c r="HG22" s="218"/>
      <c r="HH22" s="216" t="str">
        <f>BIN2HEX(HH21)</f>
        <v>1</v>
      </c>
      <c r="HI22" s="217"/>
      <c r="HJ22" s="217"/>
      <c r="HK22" s="218"/>
      <c r="HL22" s="216" t="str">
        <f>BIN2HEX(HL21)</f>
        <v>1</v>
      </c>
      <c r="HM22" s="217"/>
      <c r="HN22" s="217"/>
      <c r="HO22" s="218"/>
      <c r="HP22" s="216" t="str">
        <f>BIN2HEX(HP21)</f>
        <v>1</v>
      </c>
      <c r="HQ22" s="217"/>
      <c r="HR22" s="217"/>
      <c r="HS22" s="218"/>
      <c r="HT22" s="216" t="str">
        <f>BIN2HEX(HT21)</f>
        <v>D</v>
      </c>
      <c r="HU22" s="217"/>
      <c r="HV22" s="217"/>
      <c r="HW22" s="218"/>
      <c r="HX22" s="216" t="str">
        <f>BIN2HEX(HX21)</f>
        <v>3</v>
      </c>
      <c r="HY22" s="217"/>
      <c r="HZ22" s="217"/>
      <c r="IA22" s="218"/>
      <c r="IB22" s="216" t="str">
        <f>BIN2HEX(IB21)</f>
        <v>5</v>
      </c>
      <c r="IC22" s="217"/>
      <c r="ID22" s="217"/>
      <c r="IE22" s="218"/>
      <c r="IF22" s="216" t="str">
        <f>BIN2HEX(IF21)</f>
        <v>4</v>
      </c>
      <c r="IG22" s="217"/>
      <c r="IH22" s="217"/>
      <c r="II22" s="218"/>
      <c r="IJ22" s="216" t="str">
        <f>BIN2HEX(IJ21)</f>
        <v>7</v>
      </c>
      <c r="IK22" s="217"/>
      <c r="IL22" s="217"/>
      <c r="IM22" s="218"/>
      <c r="IN22" s="216" t="str">
        <f>BIN2HEX(IN21)</f>
        <v>7</v>
      </c>
      <c r="IO22" s="217"/>
      <c r="IP22" s="217"/>
      <c r="IQ22" s="218"/>
      <c r="IR22" s="216" t="str">
        <f>BIN2HEX(IR21)</f>
        <v>7</v>
      </c>
      <c r="IS22" s="217"/>
      <c r="IT22" s="217"/>
      <c r="IU22" s="218"/>
      <c r="IV22" s="216" t="str">
        <f>BIN2HEX(IV21)</f>
        <v>1</v>
      </c>
      <c r="IW22" s="217"/>
      <c r="IX22" s="217"/>
      <c r="IY22" s="218"/>
      <c r="IZ22" t="s">
        <v>227</v>
      </c>
    </row>
    <row r="23" spans="1:260">
      <c r="IZ23" t="s">
        <v>227</v>
      </c>
    </row>
    <row r="24" spans="1:260" ht="18.600000000000001">
      <c r="A24" s="142" t="s">
        <v>242</v>
      </c>
    </row>
    <row r="25" spans="1:260">
      <c r="B25" s="10" t="s">
        <v>243</v>
      </c>
      <c r="D25" s="6"/>
      <c r="E25" s="6"/>
      <c r="F25" s="6"/>
      <c r="G25" s="6"/>
      <c r="H25" s="6"/>
      <c r="I25" s="6"/>
      <c r="J25" s="6"/>
      <c r="K25" s="6"/>
      <c r="L25" s="6"/>
      <c r="M25" s="6"/>
      <c r="N25" s="6"/>
      <c r="O25" s="6"/>
      <c r="P25" s="6"/>
    </row>
    <row r="26" spans="1:260">
      <c r="B26" s="1"/>
      <c r="D26" s="6"/>
      <c r="E26" s="6"/>
      <c r="F26" s="6"/>
      <c r="O26" s="6"/>
      <c r="P26" s="6"/>
    </row>
    <row r="27" spans="1:260" ht="16.2">
      <c r="B27" s="156" t="s">
        <v>253</v>
      </c>
      <c r="D27" s="6"/>
      <c r="E27" s="6"/>
      <c r="F27" s="6"/>
      <c r="O27" s="6"/>
      <c r="P27" s="6"/>
    </row>
    <row r="28" spans="1:260">
      <c r="B28" s="6"/>
      <c r="C28" s="1"/>
      <c r="D28" s="6"/>
      <c r="E28" s="6"/>
      <c r="F28" s="6"/>
      <c r="O28" s="6"/>
      <c r="P28" s="6"/>
    </row>
    <row r="29" spans="1:260">
      <c r="B29" s="6"/>
      <c r="C29" s="1"/>
      <c r="D29" s="6"/>
      <c r="E29" s="6"/>
      <c r="F29" s="6"/>
      <c r="O29" s="6"/>
      <c r="P29" s="6"/>
    </row>
    <row r="30" spans="1:260">
      <c r="B30" s="6"/>
      <c r="C30" s="1"/>
      <c r="D30" s="6"/>
      <c r="E30" s="6"/>
      <c r="F30" s="6"/>
      <c r="O30" s="6"/>
      <c r="P30" s="6"/>
    </row>
    <row r="31" spans="1:260">
      <c r="B31" s="6"/>
      <c r="C31" s="1"/>
      <c r="D31" s="6"/>
      <c r="E31" s="6"/>
      <c r="F31" s="6"/>
      <c r="O31" s="6"/>
      <c r="P31" s="6"/>
    </row>
    <row r="32" spans="1:260" ht="16.2">
      <c r="B32" s="156" t="s">
        <v>150</v>
      </c>
      <c r="C32" s="1"/>
      <c r="D32" s="6"/>
      <c r="E32" s="6"/>
      <c r="F32" s="6"/>
      <c r="O32" s="6"/>
      <c r="P32" s="6"/>
    </row>
    <row r="33" spans="2:57" ht="16.2">
      <c r="B33" s="156"/>
      <c r="C33" s="1" t="s">
        <v>244</v>
      </c>
      <c r="D33" s="6"/>
      <c r="E33" s="6"/>
      <c r="F33" s="6"/>
      <c r="O33" s="6"/>
      <c r="P33" s="6"/>
    </row>
    <row r="34" spans="2:57" ht="18.600000000000001">
      <c r="B34" s="6"/>
      <c r="C34" s="1"/>
      <c r="D34" s="6"/>
      <c r="E34" s="219" t="s">
        <v>245</v>
      </c>
      <c r="F34" s="220"/>
      <c r="G34" s="220"/>
      <c r="H34" s="220"/>
      <c r="I34" s="220"/>
      <c r="J34" s="220"/>
      <c r="K34" s="220"/>
      <c r="L34" s="220"/>
      <c r="M34" s="220"/>
      <c r="N34" s="220"/>
      <c r="O34" s="220"/>
      <c r="P34" s="220"/>
      <c r="Q34" s="220"/>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0"/>
      <c r="AO34" s="220"/>
      <c r="AP34" s="220"/>
      <c r="AQ34" s="220"/>
      <c r="AR34" s="220"/>
      <c r="AS34" s="220"/>
      <c r="AT34" s="220"/>
      <c r="AU34" s="220"/>
      <c r="AV34" s="220"/>
      <c r="AW34" s="220"/>
      <c r="AX34" s="220"/>
      <c r="AY34" s="220"/>
      <c r="AZ34" s="220"/>
      <c r="BA34" s="220"/>
      <c r="BB34" s="220"/>
      <c r="BC34" s="220"/>
      <c r="BD34" s="220"/>
      <c r="BE34" s="221"/>
    </row>
    <row r="35" spans="2:57">
      <c r="B35" s="6"/>
      <c r="C35" s="1"/>
      <c r="E35" s="6"/>
      <c r="F35" s="6"/>
      <c r="O35" s="6"/>
      <c r="P35" s="6"/>
    </row>
    <row r="36" spans="2:57">
      <c r="B36" s="6"/>
      <c r="C36" s="1"/>
      <c r="D36" s="66" t="s">
        <v>246</v>
      </c>
      <c r="E36" s="6"/>
      <c r="F36" s="6"/>
      <c r="O36" s="6"/>
      <c r="P36" s="6"/>
    </row>
    <row r="37" spans="2:57">
      <c r="B37" s="6"/>
      <c r="C37" s="1"/>
      <c r="D37" s="1" t="s">
        <v>27</v>
      </c>
      <c r="E37" s="6"/>
      <c r="F37" s="6"/>
      <c r="O37" s="6"/>
      <c r="P37" s="6"/>
    </row>
    <row r="38" spans="2:57">
      <c r="B38" s="6"/>
      <c r="C38" s="1"/>
      <c r="D38" s="155" t="s">
        <v>116</v>
      </c>
      <c r="E38" s="11"/>
      <c r="F38" s="19"/>
      <c r="G38" s="19"/>
      <c r="H38" s="19"/>
      <c r="I38" s="19"/>
      <c r="J38" s="19"/>
      <c r="K38" s="19"/>
      <c r="L38" s="19"/>
      <c r="M38" s="19"/>
      <c r="N38" s="19"/>
      <c r="O38" s="11"/>
      <c r="P38" s="11"/>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20"/>
    </row>
    <row r="39" spans="2:57">
      <c r="B39" s="6"/>
      <c r="C39" s="1"/>
      <c r="D39" s="13"/>
      <c r="E39" s="14" t="s">
        <v>247</v>
      </c>
      <c r="F39" s="14"/>
      <c r="G39" s="21"/>
      <c r="H39" s="21"/>
      <c r="I39" s="21"/>
      <c r="J39" s="21"/>
      <c r="K39" s="21"/>
      <c r="L39" s="21"/>
      <c r="M39" s="21"/>
      <c r="N39" s="21"/>
      <c r="O39" s="14"/>
      <c r="P39" s="14"/>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2"/>
    </row>
    <row r="40" spans="2:57">
      <c r="B40" s="6"/>
      <c r="C40" s="1"/>
      <c r="D40" s="13"/>
      <c r="E40" s="14"/>
      <c r="F40" s="67" t="s">
        <v>248</v>
      </c>
      <c r="G40" s="21"/>
      <c r="H40" s="21"/>
      <c r="I40" s="21"/>
      <c r="J40" s="21"/>
      <c r="K40" s="21"/>
      <c r="L40" s="21"/>
      <c r="M40" s="21"/>
      <c r="N40" s="21"/>
      <c r="O40" s="14"/>
      <c r="P40" s="14"/>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2"/>
    </row>
    <row r="41" spans="2:57">
      <c r="B41" s="6"/>
      <c r="C41" s="1"/>
      <c r="D41" s="16"/>
      <c r="E41" s="23"/>
      <c r="F41" s="23"/>
      <c r="G41" s="23"/>
      <c r="H41" s="23"/>
      <c r="I41" s="23"/>
      <c r="J41" s="23"/>
      <c r="K41" s="23"/>
      <c r="L41" s="23"/>
      <c r="M41" s="23"/>
      <c r="N41" s="23"/>
      <c r="O41" s="17"/>
      <c r="P41" s="17"/>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4"/>
    </row>
    <row r="43" spans="2:57">
      <c r="C43" s="3" t="s">
        <v>249</v>
      </c>
    </row>
    <row r="44" spans="2:57">
      <c r="D44" t="s">
        <v>250</v>
      </c>
    </row>
    <row r="45" spans="2:57">
      <c r="D45" t="s">
        <v>251</v>
      </c>
    </row>
    <row r="46" spans="2:57">
      <c r="D46" t="s">
        <v>252</v>
      </c>
    </row>
  </sheetData>
  <mergeCells count="391">
    <mergeCell ref="IJ22:IM22"/>
    <mergeCell ref="IN22:IQ22"/>
    <mergeCell ref="IR22:IU22"/>
    <mergeCell ref="IV22:IY22"/>
    <mergeCell ref="E34:BE34"/>
    <mergeCell ref="HL22:HO22"/>
    <mergeCell ref="HP22:HS22"/>
    <mergeCell ref="HT22:HW22"/>
    <mergeCell ref="HX22:IA22"/>
    <mergeCell ref="IB22:IE22"/>
    <mergeCell ref="IF22:II22"/>
    <mergeCell ref="GN22:GQ22"/>
    <mergeCell ref="GR22:GU22"/>
    <mergeCell ref="GV22:GY22"/>
    <mergeCell ref="GZ22:HC22"/>
    <mergeCell ref="HD22:HG22"/>
    <mergeCell ref="HH22:HK22"/>
    <mergeCell ref="FP22:FS22"/>
    <mergeCell ref="FT22:FW22"/>
    <mergeCell ref="FX22:GA22"/>
    <mergeCell ref="GB22:GE22"/>
    <mergeCell ref="GF22:GI22"/>
    <mergeCell ref="GJ22:GM22"/>
    <mergeCell ref="ER22:EU22"/>
    <mergeCell ref="EV22:EY22"/>
    <mergeCell ref="EZ22:FC22"/>
    <mergeCell ref="FD22:FG22"/>
    <mergeCell ref="FH22:FK22"/>
    <mergeCell ref="FL22:FO22"/>
    <mergeCell ref="DT22:DW22"/>
    <mergeCell ref="DX22:EA22"/>
    <mergeCell ref="EB22:EE22"/>
    <mergeCell ref="EF22:EI22"/>
    <mergeCell ref="EJ22:EM22"/>
    <mergeCell ref="EN22:EQ22"/>
    <mergeCell ref="CV22:CY22"/>
    <mergeCell ref="CZ22:DC22"/>
    <mergeCell ref="DD22:DG22"/>
    <mergeCell ref="DH22:DK22"/>
    <mergeCell ref="DL22:DO22"/>
    <mergeCell ref="DP22:DS22"/>
    <mergeCell ref="BX22:CA22"/>
    <mergeCell ref="CB22:CE22"/>
    <mergeCell ref="CF22:CI22"/>
    <mergeCell ref="CJ22:CM22"/>
    <mergeCell ref="CN22:CQ22"/>
    <mergeCell ref="CR22:CU22"/>
    <mergeCell ref="AZ22:BC22"/>
    <mergeCell ref="BD22:BG22"/>
    <mergeCell ref="BH22:BK22"/>
    <mergeCell ref="BL22:BO22"/>
    <mergeCell ref="BP22:BS22"/>
    <mergeCell ref="BT22:BW22"/>
    <mergeCell ref="AB22:AE22"/>
    <mergeCell ref="AF22:AI22"/>
    <mergeCell ref="AJ22:AM22"/>
    <mergeCell ref="AN22:AQ22"/>
    <mergeCell ref="AR22:AU22"/>
    <mergeCell ref="AV22:AY22"/>
    <mergeCell ref="IJ21:IM21"/>
    <mergeCell ref="IN21:IQ21"/>
    <mergeCell ref="IR21:IU21"/>
    <mergeCell ref="IV21:IY21"/>
    <mergeCell ref="D22:G22"/>
    <mergeCell ref="H22:K22"/>
    <mergeCell ref="L22:O22"/>
    <mergeCell ref="P22:S22"/>
    <mergeCell ref="T22:W22"/>
    <mergeCell ref="X22:AA22"/>
    <mergeCell ref="HL21:HO21"/>
    <mergeCell ref="HP21:HS21"/>
    <mergeCell ref="HT21:HW21"/>
    <mergeCell ref="HX21:IA21"/>
    <mergeCell ref="IB21:IE21"/>
    <mergeCell ref="IF21:II21"/>
    <mergeCell ref="GN21:GQ21"/>
    <mergeCell ref="GR21:GU21"/>
    <mergeCell ref="GV21:GY21"/>
    <mergeCell ref="GZ21:HC21"/>
    <mergeCell ref="HD21:HG21"/>
    <mergeCell ref="HH21:HK21"/>
    <mergeCell ref="FP21:FS21"/>
    <mergeCell ref="FT21:FW21"/>
    <mergeCell ref="FX21:GA21"/>
    <mergeCell ref="GB21:GE21"/>
    <mergeCell ref="GF21:GI21"/>
    <mergeCell ref="GJ21:GM21"/>
    <mergeCell ref="ER21:EU21"/>
    <mergeCell ref="EV21:EY21"/>
    <mergeCell ref="EZ21:FC21"/>
    <mergeCell ref="FD21:FG21"/>
    <mergeCell ref="FH21:FK21"/>
    <mergeCell ref="FL21:FO21"/>
    <mergeCell ref="DT21:DW21"/>
    <mergeCell ref="DX21:EA21"/>
    <mergeCell ref="EB21:EE21"/>
    <mergeCell ref="EF21:EI21"/>
    <mergeCell ref="EJ21:EM21"/>
    <mergeCell ref="EN21:EQ21"/>
    <mergeCell ref="CV21:CY21"/>
    <mergeCell ref="CZ21:DC21"/>
    <mergeCell ref="DD21:DG21"/>
    <mergeCell ref="DH21:DK21"/>
    <mergeCell ref="DL21:DO21"/>
    <mergeCell ref="DP21:DS21"/>
    <mergeCell ref="BX21:CA21"/>
    <mergeCell ref="CB21:CE21"/>
    <mergeCell ref="CF21:CI21"/>
    <mergeCell ref="CJ21:CM21"/>
    <mergeCell ref="CN21:CQ21"/>
    <mergeCell ref="CR21:CU21"/>
    <mergeCell ref="AZ21:BC21"/>
    <mergeCell ref="BD21:BG21"/>
    <mergeCell ref="BH21:BK21"/>
    <mergeCell ref="BL21:BO21"/>
    <mergeCell ref="BP21:BS21"/>
    <mergeCell ref="BT21:BW21"/>
    <mergeCell ref="AB21:AE21"/>
    <mergeCell ref="AF21:AI21"/>
    <mergeCell ref="AJ21:AM21"/>
    <mergeCell ref="AN21:AQ21"/>
    <mergeCell ref="AR21:AU21"/>
    <mergeCell ref="AV21:AY21"/>
    <mergeCell ref="IJ17:IM17"/>
    <mergeCell ref="IN17:IQ17"/>
    <mergeCell ref="IR17:IU17"/>
    <mergeCell ref="GJ17:GM17"/>
    <mergeCell ref="ER17:EU17"/>
    <mergeCell ref="EV17:EY17"/>
    <mergeCell ref="EZ17:FC17"/>
    <mergeCell ref="FD17:FG17"/>
    <mergeCell ref="FH17:FK17"/>
    <mergeCell ref="FL17:FO17"/>
    <mergeCell ref="DT17:DW17"/>
    <mergeCell ref="DX17:EA17"/>
    <mergeCell ref="EB17:EE17"/>
    <mergeCell ref="EF17:EI17"/>
    <mergeCell ref="EJ17:EM17"/>
    <mergeCell ref="EN17:EQ17"/>
    <mergeCell ref="CV17:CY17"/>
    <mergeCell ref="CZ17:DC17"/>
    <mergeCell ref="IV17:IY17"/>
    <mergeCell ref="D21:G21"/>
    <mergeCell ref="H21:K21"/>
    <mergeCell ref="L21:O21"/>
    <mergeCell ref="P21:S21"/>
    <mergeCell ref="T21:W21"/>
    <mergeCell ref="X21:AA21"/>
    <mergeCell ref="HL17:HO17"/>
    <mergeCell ref="HP17:HS17"/>
    <mergeCell ref="HT17:HW17"/>
    <mergeCell ref="HX17:IA17"/>
    <mergeCell ref="IB17:IE17"/>
    <mergeCell ref="IF17:II17"/>
    <mergeCell ref="GN17:GQ17"/>
    <mergeCell ref="GR17:GU17"/>
    <mergeCell ref="GV17:GY17"/>
    <mergeCell ref="GZ17:HC17"/>
    <mergeCell ref="HD17:HG17"/>
    <mergeCell ref="HH17:HK17"/>
    <mergeCell ref="FP17:FS17"/>
    <mergeCell ref="FT17:FW17"/>
    <mergeCell ref="FX17:GA17"/>
    <mergeCell ref="GB17:GE17"/>
    <mergeCell ref="GF17:GI17"/>
    <mergeCell ref="DD17:DG17"/>
    <mergeCell ref="DH17:DK17"/>
    <mergeCell ref="DL17:DO17"/>
    <mergeCell ref="DP17:DS17"/>
    <mergeCell ref="BX17:CA17"/>
    <mergeCell ref="CB17:CE17"/>
    <mergeCell ref="CF17:CI17"/>
    <mergeCell ref="CJ17:CM17"/>
    <mergeCell ref="CN17:CQ17"/>
    <mergeCell ref="CR17:CU17"/>
    <mergeCell ref="AZ17:BC17"/>
    <mergeCell ref="BD17:BG17"/>
    <mergeCell ref="BH17:BK17"/>
    <mergeCell ref="BL17:BO17"/>
    <mergeCell ref="BP17:BS17"/>
    <mergeCell ref="BT17:BW17"/>
    <mergeCell ref="AB17:AE17"/>
    <mergeCell ref="AF17:AI17"/>
    <mergeCell ref="AJ17:AM17"/>
    <mergeCell ref="AN17:AQ17"/>
    <mergeCell ref="AR17:AU17"/>
    <mergeCell ref="AV17:AY17"/>
    <mergeCell ref="IJ15:IM15"/>
    <mergeCell ref="IN15:IQ15"/>
    <mergeCell ref="IR15:IU15"/>
    <mergeCell ref="IV15:IY15"/>
    <mergeCell ref="D17:G17"/>
    <mergeCell ref="H17:K17"/>
    <mergeCell ref="L17:O17"/>
    <mergeCell ref="P17:S17"/>
    <mergeCell ref="T17:W17"/>
    <mergeCell ref="X17:AA17"/>
    <mergeCell ref="HL15:HO15"/>
    <mergeCell ref="HP15:HS15"/>
    <mergeCell ref="HT15:HW15"/>
    <mergeCell ref="HX15:IA15"/>
    <mergeCell ref="IB15:IE15"/>
    <mergeCell ref="IF15:II15"/>
    <mergeCell ref="GN15:GQ15"/>
    <mergeCell ref="GR15:GU15"/>
    <mergeCell ref="GV15:GY15"/>
    <mergeCell ref="GZ15:HC15"/>
    <mergeCell ref="HD15:HG15"/>
    <mergeCell ref="HH15:HK15"/>
    <mergeCell ref="FP15:FS15"/>
    <mergeCell ref="FT15:FW15"/>
    <mergeCell ref="FX15:GA15"/>
    <mergeCell ref="GB15:GE15"/>
    <mergeCell ref="GF15:GI15"/>
    <mergeCell ref="GJ15:GM15"/>
    <mergeCell ref="ER15:EU15"/>
    <mergeCell ref="EV15:EY15"/>
    <mergeCell ref="EZ15:FC15"/>
    <mergeCell ref="FD15:FG15"/>
    <mergeCell ref="FH15:FK15"/>
    <mergeCell ref="FL15:FO15"/>
    <mergeCell ref="DT15:DW15"/>
    <mergeCell ref="DX15:EA15"/>
    <mergeCell ref="EB15:EE15"/>
    <mergeCell ref="EF15:EI15"/>
    <mergeCell ref="EJ15:EM15"/>
    <mergeCell ref="EN15:EQ15"/>
    <mergeCell ref="CV15:CY15"/>
    <mergeCell ref="CZ15:DC15"/>
    <mergeCell ref="DD15:DG15"/>
    <mergeCell ref="DH15:DK15"/>
    <mergeCell ref="DL15:DO15"/>
    <mergeCell ref="DP15:DS15"/>
    <mergeCell ref="BX15:CA15"/>
    <mergeCell ref="CB15:CE15"/>
    <mergeCell ref="CF15:CI15"/>
    <mergeCell ref="CJ15:CM15"/>
    <mergeCell ref="CN15:CQ15"/>
    <mergeCell ref="CR15:CU15"/>
    <mergeCell ref="AZ15:BC15"/>
    <mergeCell ref="BD15:BG15"/>
    <mergeCell ref="BH15:BK15"/>
    <mergeCell ref="BL15:BO15"/>
    <mergeCell ref="BP15:BS15"/>
    <mergeCell ref="BT15:BW15"/>
    <mergeCell ref="AB15:AE15"/>
    <mergeCell ref="AF15:AI15"/>
    <mergeCell ref="AJ15:AM15"/>
    <mergeCell ref="AN15:AQ15"/>
    <mergeCell ref="AR15:AU15"/>
    <mergeCell ref="AV15:AY15"/>
    <mergeCell ref="D15:G15"/>
    <mergeCell ref="H15:K15"/>
    <mergeCell ref="L15:O15"/>
    <mergeCell ref="P15:S15"/>
    <mergeCell ref="T15:W15"/>
    <mergeCell ref="X15:AA15"/>
    <mergeCell ref="IJ10:IM10"/>
    <mergeCell ref="IN10:IQ10"/>
    <mergeCell ref="IR10:IU10"/>
    <mergeCell ref="IV10:IY10"/>
    <mergeCell ref="C13:D13"/>
    <mergeCell ref="C14:CE14"/>
    <mergeCell ref="HL10:HO10"/>
    <mergeCell ref="HP10:HS10"/>
    <mergeCell ref="HT10:HW10"/>
    <mergeCell ref="HX10:IA10"/>
    <mergeCell ref="IB10:IE10"/>
    <mergeCell ref="IF10:II10"/>
    <mergeCell ref="GN10:GQ10"/>
    <mergeCell ref="GR10:GU10"/>
    <mergeCell ref="GV10:GY10"/>
    <mergeCell ref="GZ10:HC10"/>
    <mergeCell ref="HD10:HG10"/>
    <mergeCell ref="HH10:HK10"/>
    <mergeCell ref="FP10:FS10"/>
    <mergeCell ref="FT10:FW10"/>
    <mergeCell ref="FX10:GA10"/>
    <mergeCell ref="GB10:GE10"/>
    <mergeCell ref="GF10:GI10"/>
    <mergeCell ref="GJ10:GM10"/>
    <mergeCell ref="ER10:EU10"/>
    <mergeCell ref="EV10:EY10"/>
    <mergeCell ref="EZ10:FC10"/>
    <mergeCell ref="FD10:FG10"/>
    <mergeCell ref="FH10:FK10"/>
    <mergeCell ref="FL10:FO10"/>
    <mergeCell ref="DT10:DW10"/>
    <mergeCell ref="DX10:EA10"/>
    <mergeCell ref="EB10:EE10"/>
    <mergeCell ref="EF10:EI10"/>
    <mergeCell ref="EJ10:EM10"/>
    <mergeCell ref="EN10:EQ10"/>
    <mergeCell ref="CV10:CY10"/>
    <mergeCell ref="CZ10:DC10"/>
    <mergeCell ref="DD10:DG10"/>
    <mergeCell ref="DH10:DK10"/>
    <mergeCell ref="DL10:DO10"/>
    <mergeCell ref="DP10:DS10"/>
    <mergeCell ref="BX10:CA10"/>
    <mergeCell ref="CB10:CE10"/>
    <mergeCell ref="CF10:CI10"/>
    <mergeCell ref="CJ10:CM10"/>
    <mergeCell ref="CN10:CQ10"/>
    <mergeCell ref="CR10:CU10"/>
    <mergeCell ref="AZ10:BC10"/>
    <mergeCell ref="BD10:BG10"/>
    <mergeCell ref="BH10:BK10"/>
    <mergeCell ref="BL10:BO10"/>
    <mergeCell ref="BP10:BS10"/>
    <mergeCell ref="BT10:BW10"/>
    <mergeCell ref="AB10:AE10"/>
    <mergeCell ref="AF10:AI10"/>
    <mergeCell ref="AJ10:AM10"/>
    <mergeCell ref="AN10:AQ10"/>
    <mergeCell ref="AR10:AU10"/>
    <mergeCell ref="AV10:AY10"/>
    <mergeCell ref="IJ8:IM8"/>
    <mergeCell ref="IN8:IQ8"/>
    <mergeCell ref="IR8:IU8"/>
    <mergeCell ref="IV8:IY8"/>
    <mergeCell ref="D10:G10"/>
    <mergeCell ref="H10:K10"/>
    <mergeCell ref="L10:O10"/>
    <mergeCell ref="P10:S10"/>
    <mergeCell ref="T10:W10"/>
    <mergeCell ref="X10:AA10"/>
    <mergeCell ref="HL8:HO8"/>
    <mergeCell ref="HP8:HS8"/>
    <mergeCell ref="HT8:HW8"/>
    <mergeCell ref="HX8:IA8"/>
    <mergeCell ref="IB8:IE8"/>
    <mergeCell ref="IF8:II8"/>
    <mergeCell ref="GN8:GQ8"/>
    <mergeCell ref="GR8:GU8"/>
    <mergeCell ref="GV8:GY8"/>
    <mergeCell ref="GZ8:HC8"/>
    <mergeCell ref="HD8:HG8"/>
    <mergeCell ref="HH8:HK8"/>
    <mergeCell ref="FP8:FS8"/>
    <mergeCell ref="FT8:FW8"/>
    <mergeCell ref="FX8:GA8"/>
    <mergeCell ref="GB8:GE8"/>
    <mergeCell ref="GF8:GI8"/>
    <mergeCell ref="GJ8:GM8"/>
    <mergeCell ref="ER8:EU8"/>
    <mergeCell ref="EV8:EY8"/>
    <mergeCell ref="EZ8:FC8"/>
    <mergeCell ref="FD8:FG8"/>
    <mergeCell ref="FH8:FK8"/>
    <mergeCell ref="FL8:FO8"/>
    <mergeCell ref="DT8:DW8"/>
    <mergeCell ref="DX8:EA8"/>
    <mergeCell ref="EB8:EE8"/>
    <mergeCell ref="EF8:EI8"/>
    <mergeCell ref="EJ8:EM8"/>
    <mergeCell ref="EN8:EQ8"/>
    <mergeCell ref="CV8:CY8"/>
    <mergeCell ref="CZ8:DC8"/>
    <mergeCell ref="DD8:DG8"/>
    <mergeCell ref="DH8:DK8"/>
    <mergeCell ref="DL8:DO8"/>
    <mergeCell ref="DP8:DS8"/>
    <mergeCell ref="CF8:CI8"/>
    <mergeCell ref="CJ8:CM8"/>
    <mergeCell ref="CN8:CQ8"/>
    <mergeCell ref="CR8:CU8"/>
    <mergeCell ref="AZ8:BC8"/>
    <mergeCell ref="BD8:BG8"/>
    <mergeCell ref="BH8:BK8"/>
    <mergeCell ref="BL8:BO8"/>
    <mergeCell ref="BP8:BS8"/>
    <mergeCell ref="BT8:BW8"/>
    <mergeCell ref="AB8:AE8"/>
    <mergeCell ref="AF8:AI8"/>
    <mergeCell ref="AJ8:AM8"/>
    <mergeCell ref="AN8:AQ8"/>
    <mergeCell ref="AR8:AU8"/>
    <mergeCell ref="AV8:AY8"/>
    <mergeCell ref="B3:E3"/>
    <mergeCell ref="B4:E4"/>
    <mergeCell ref="C6:D6"/>
    <mergeCell ref="C7:CE7"/>
    <mergeCell ref="D8:G8"/>
    <mergeCell ref="H8:K8"/>
    <mergeCell ref="L8:O8"/>
    <mergeCell ref="P8:S8"/>
    <mergeCell ref="T8:W8"/>
    <mergeCell ref="X8:AA8"/>
    <mergeCell ref="BX8:CA8"/>
    <mergeCell ref="CB8:CE8"/>
  </mergeCells>
  <phoneticPr fontId="2"/>
  <hyperlinks>
    <hyperlink ref="E34" location="'XOR_A&amp;B'!A1" display="シート”Python_CRC” - 【インストール】" xr:uid="{AEAFDE94-65B9-4ED0-AC12-708EE9AD72DF}"/>
  </hyperlinks>
  <pageMargins left="0.7" right="0.7" top="0.75" bottom="0.75" header="0.3" footer="0.3"/>
  <pageSetup scale="16" orientation="portrait" r:id="rId1"/>
  <drawing r:id="rId2"/>
  <legacyDrawing r:id="rId3"/>
  <oleObjects>
    <mc:AlternateContent xmlns:mc="http://schemas.openxmlformats.org/markup-compatibility/2006">
      <mc:Choice Requires="x14">
        <oleObject progId="パッケージャー シェル オブジェクト" dvAspect="DVASPECT_ICON" shapeId="9217" r:id="rId4">
          <objectPr defaultSize="0" autoPict="0" r:id="rId5">
            <anchor moveWithCells="1">
              <from>
                <xdr:col>4</xdr:col>
                <xdr:colOff>68580</xdr:colOff>
                <xdr:row>27</xdr:row>
                <xdr:rowOff>106680</xdr:rowOff>
              </from>
              <to>
                <xdr:col>30</xdr:col>
                <xdr:colOff>15240</xdr:colOff>
                <xdr:row>30</xdr:row>
                <xdr:rowOff>91440</xdr:rowOff>
              </to>
            </anchor>
          </objectPr>
        </oleObject>
      </mc:Choice>
      <mc:Fallback>
        <oleObject progId="パッケージャー シェル オブジェクト" dvAspect="DVASPECT_ICON" shapeId="9217" r:id="rId4"/>
      </mc:Fallback>
    </mc:AlternateContent>
  </oleObjec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Index</vt:lpstr>
      <vt:lpstr>Outline</vt:lpstr>
      <vt:lpstr>C#_CRC16</vt:lpstr>
      <vt:lpstr>C#_CRC8</vt:lpstr>
      <vt:lpstr>Python_CRC</vt:lpstr>
      <vt:lpstr>CRC8_(manual_calculation_1)</vt:lpstr>
      <vt:lpstr>CRC8_(manual_calculation_2)</vt:lpstr>
      <vt:lpstr>XOR_A&amp;B</vt:lpstr>
      <vt:lpstr>Index!Print_Area</vt:lpstr>
      <vt:lpstr>Outline!Print_Area</vt:lpstr>
      <vt:lpstr>生成多項式とLook_up_tableについて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Fujii Ken YKH ADBA45</dc:creator>
  <cp:lastModifiedBy>Fujii Ken YKH ADBA45</cp:lastModifiedBy>
  <cp:lastPrinted>2024-04-05T04:21:54Z</cp:lastPrinted>
  <dcterms:created xsi:type="dcterms:W3CDTF">2024-04-04T06:57:17Z</dcterms:created>
  <dcterms:modified xsi:type="dcterms:W3CDTF">2024-04-24T06:33:41Z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989f05f-edc3-4af3-b0a2-5c6712921edb_Enabled">
    <vt:lpwstr>true</vt:lpwstr>
  </property>
  <property fmtid="{D5CDD505-2E9C-101B-9397-08002B2CF9AE}" pid="3" name="MSIP_Label_3989f05f-edc3-4af3-b0a2-5c6712921edb_SetDate">
    <vt:lpwstr>2024-04-04T08:02:18Z</vt:lpwstr>
  </property>
  <property fmtid="{D5CDD505-2E9C-101B-9397-08002B2CF9AE}" pid="4" name="MSIP_Label_3989f05f-edc3-4af3-b0a2-5c6712921edb_Method">
    <vt:lpwstr>Privileged</vt:lpwstr>
  </property>
  <property fmtid="{D5CDD505-2E9C-101B-9397-08002B2CF9AE}" pid="5" name="MSIP_Label_3989f05f-edc3-4af3-b0a2-5c6712921edb_Name">
    <vt:lpwstr>ZF Confidential Sub_2</vt:lpwstr>
  </property>
  <property fmtid="{D5CDD505-2E9C-101B-9397-08002B2CF9AE}" pid="6" name="MSIP_Label_3989f05f-edc3-4af3-b0a2-5c6712921edb_SiteId">
    <vt:lpwstr>eb70b763-b6d7-4486-8555-8831709a784e</vt:lpwstr>
  </property>
  <property fmtid="{D5CDD505-2E9C-101B-9397-08002B2CF9AE}" pid="7" name="MSIP_Label_3989f05f-edc3-4af3-b0a2-5c6712921edb_ActionId">
    <vt:lpwstr>1c280407-10a7-4cad-b10f-4a65e0656148</vt:lpwstr>
  </property>
  <property fmtid="{D5CDD505-2E9C-101B-9397-08002B2CF9AE}" pid="8" name="MSIP_Label_3989f05f-edc3-4af3-b0a2-5c6712921edb_ContentBits">
    <vt:lpwstr>1</vt:lpwstr>
  </property>
</Properties>
</file>